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HR OFFICER\DATA PENGGAJIAN\PAYROLL\Payroll 2026\ABSENSI &amp; DATA PENUNJANG GAJI JUNI 2026\ABSENSI &amp; DATA PENUNJANG GAJI HO JUNI 2026\ABSEN HO JUNI 2026\"/>
    </mc:Choice>
  </mc:AlternateContent>
  <xr:revisionPtr revIDLastSave="0" documentId="13_ncr:1_{79B9F94C-C364-4AFA-8C5E-68013B1E49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sheet!$A$4:$BC$71</definedName>
    <definedName name="_xlnm.Print_Area" localSheetId="0">sheet!$A$1:$AJ$77</definedName>
    <definedName name="_xlnm.Print_Titles" localSheetId="0">sheet!$1:$4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70" i="1" l="1"/>
  <c r="AP70" i="1"/>
  <c r="AQ70" i="1"/>
  <c r="AR70" i="1"/>
  <c r="AS70" i="1"/>
  <c r="AT70" i="1"/>
  <c r="AU70" i="1"/>
  <c r="AK70" i="1"/>
  <c r="AL70" i="1"/>
  <c r="AM70" i="1" l="1"/>
  <c r="AV70" i="1"/>
  <c r="AU69" i="1"/>
  <c r="AT69" i="1"/>
  <c r="AS69" i="1"/>
  <c r="AR69" i="1"/>
  <c r="AQ69" i="1"/>
  <c r="AP69" i="1"/>
  <c r="AO69" i="1"/>
  <c r="AL69" i="1"/>
  <c r="AK69" i="1"/>
  <c r="AU68" i="1"/>
  <c r="AT68" i="1"/>
  <c r="AS68" i="1"/>
  <c r="AR68" i="1"/>
  <c r="AQ68" i="1"/>
  <c r="AP68" i="1"/>
  <c r="AO68" i="1"/>
  <c r="AL68" i="1"/>
  <c r="AK68" i="1"/>
  <c r="AU67" i="1"/>
  <c r="AT67" i="1"/>
  <c r="AS67" i="1"/>
  <c r="AR67" i="1"/>
  <c r="AQ67" i="1"/>
  <c r="AP67" i="1"/>
  <c r="AO67" i="1"/>
  <c r="AL67" i="1"/>
  <c r="AK67" i="1"/>
  <c r="AU66" i="1"/>
  <c r="AT66" i="1"/>
  <c r="AS66" i="1"/>
  <c r="AR66" i="1"/>
  <c r="AQ66" i="1"/>
  <c r="AP66" i="1"/>
  <c r="AO66" i="1"/>
  <c r="AL66" i="1"/>
  <c r="AK66" i="1"/>
  <c r="AU65" i="1"/>
  <c r="AT65" i="1"/>
  <c r="AS65" i="1"/>
  <c r="AR65" i="1"/>
  <c r="AQ65" i="1"/>
  <c r="AP65" i="1"/>
  <c r="AO65" i="1"/>
  <c r="AL65" i="1"/>
  <c r="AK65" i="1"/>
  <c r="AU64" i="1"/>
  <c r="AT64" i="1"/>
  <c r="AS64" i="1"/>
  <c r="AR64" i="1"/>
  <c r="AQ64" i="1"/>
  <c r="AP64" i="1"/>
  <c r="AO64" i="1"/>
  <c r="AL64" i="1"/>
  <c r="AK64" i="1"/>
  <c r="AU63" i="1"/>
  <c r="AT63" i="1"/>
  <c r="AS63" i="1"/>
  <c r="AR63" i="1"/>
  <c r="AQ63" i="1"/>
  <c r="AP63" i="1"/>
  <c r="AO63" i="1"/>
  <c r="AL63" i="1"/>
  <c r="AK63" i="1"/>
  <c r="AU62" i="1"/>
  <c r="AT62" i="1"/>
  <c r="AS62" i="1"/>
  <c r="AR62" i="1"/>
  <c r="AQ62" i="1"/>
  <c r="AP62" i="1"/>
  <c r="AO62" i="1"/>
  <c r="AL62" i="1"/>
  <c r="AK62" i="1"/>
  <c r="AU61" i="1"/>
  <c r="AT61" i="1"/>
  <c r="AS61" i="1"/>
  <c r="AR61" i="1"/>
  <c r="AQ61" i="1"/>
  <c r="AP61" i="1"/>
  <c r="AO61" i="1"/>
  <c r="AL61" i="1"/>
  <c r="AK61" i="1"/>
  <c r="AU60" i="1"/>
  <c r="AT60" i="1"/>
  <c r="AS60" i="1"/>
  <c r="AR60" i="1"/>
  <c r="AQ60" i="1"/>
  <c r="AP60" i="1"/>
  <c r="AO60" i="1"/>
  <c r="AL60" i="1"/>
  <c r="AK60" i="1"/>
  <c r="AU59" i="1"/>
  <c r="AT59" i="1"/>
  <c r="AS59" i="1"/>
  <c r="AR59" i="1"/>
  <c r="AQ59" i="1"/>
  <c r="AP59" i="1"/>
  <c r="AO59" i="1"/>
  <c r="AL59" i="1"/>
  <c r="AK59" i="1"/>
  <c r="AU58" i="1"/>
  <c r="AT58" i="1"/>
  <c r="AS58" i="1"/>
  <c r="AR58" i="1"/>
  <c r="AQ58" i="1"/>
  <c r="AP58" i="1"/>
  <c r="AO58" i="1"/>
  <c r="AL58" i="1"/>
  <c r="AK58" i="1"/>
  <c r="AU57" i="1"/>
  <c r="AT57" i="1"/>
  <c r="AS57" i="1"/>
  <c r="AR57" i="1"/>
  <c r="AQ57" i="1"/>
  <c r="AP57" i="1"/>
  <c r="AO57" i="1"/>
  <c r="AL57" i="1"/>
  <c r="AK57" i="1"/>
  <c r="AU56" i="1"/>
  <c r="AT56" i="1"/>
  <c r="AS56" i="1"/>
  <c r="AR56" i="1"/>
  <c r="AQ56" i="1"/>
  <c r="AP56" i="1"/>
  <c r="AO56" i="1"/>
  <c r="AL56" i="1"/>
  <c r="AK56" i="1"/>
  <c r="AU55" i="1"/>
  <c r="AT55" i="1"/>
  <c r="AS55" i="1"/>
  <c r="AR55" i="1"/>
  <c r="AQ55" i="1"/>
  <c r="AP55" i="1"/>
  <c r="AO55" i="1"/>
  <c r="AL55" i="1"/>
  <c r="AK55" i="1"/>
  <c r="AU54" i="1"/>
  <c r="AT54" i="1"/>
  <c r="AS54" i="1"/>
  <c r="AR54" i="1"/>
  <c r="AQ54" i="1"/>
  <c r="AP54" i="1"/>
  <c r="AO54" i="1"/>
  <c r="AL54" i="1"/>
  <c r="AK54" i="1"/>
  <c r="AU53" i="1"/>
  <c r="AT53" i="1"/>
  <c r="AS53" i="1"/>
  <c r="AR53" i="1"/>
  <c r="AQ53" i="1"/>
  <c r="AP53" i="1"/>
  <c r="AO53" i="1"/>
  <c r="AL53" i="1"/>
  <c r="AK53" i="1"/>
  <c r="AU52" i="1"/>
  <c r="AT52" i="1"/>
  <c r="AS52" i="1"/>
  <c r="AR52" i="1"/>
  <c r="AQ52" i="1"/>
  <c r="AP52" i="1"/>
  <c r="AO52" i="1"/>
  <c r="AL52" i="1"/>
  <c r="AK52" i="1"/>
  <c r="AU51" i="1"/>
  <c r="AT51" i="1"/>
  <c r="AS51" i="1"/>
  <c r="AR51" i="1"/>
  <c r="AQ51" i="1"/>
  <c r="AP51" i="1"/>
  <c r="AO51" i="1"/>
  <c r="AL51" i="1"/>
  <c r="AK51" i="1"/>
  <c r="AU50" i="1"/>
  <c r="AT50" i="1"/>
  <c r="AS50" i="1"/>
  <c r="AR50" i="1"/>
  <c r="AQ50" i="1"/>
  <c r="AP50" i="1"/>
  <c r="AO50" i="1"/>
  <c r="AL50" i="1"/>
  <c r="AK50" i="1"/>
  <c r="AU49" i="1"/>
  <c r="AT49" i="1"/>
  <c r="AS49" i="1"/>
  <c r="AR49" i="1"/>
  <c r="AQ49" i="1"/>
  <c r="AP49" i="1"/>
  <c r="AO49" i="1"/>
  <c r="AL49" i="1"/>
  <c r="AK49" i="1"/>
  <c r="AU48" i="1"/>
  <c r="AT48" i="1"/>
  <c r="AS48" i="1"/>
  <c r="AR48" i="1"/>
  <c r="AQ48" i="1"/>
  <c r="AP48" i="1"/>
  <c r="AO48" i="1"/>
  <c r="AL48" i="1"/>
  <c r="AK48" i="1"/>
  <c r="AU47" i="1"/>
  <c r="AT47" i="1"/>
  <c r="AS47" i="1"/>
  <c r="AR47" i="1"/>
  <c r="AQ47" i="1"/>
  <c r="AP47" i="1"/>
  <c r="AO47" i="1"/>
  <c r="AL47" i="1"/>
  <c r="AK47" i="1"/>
  <c r="AU46" i="1"/>
  <c r="AT46" i="1"/>
  <c r="AS46" i="1"/>
  <c r="AR46" i="1"/>
  <c r="AQ46" i="1"/>
  <c r="AP46" i="1"/>
  <c r="AO46" i="1"/>
  <c r="AL46" i="1"/>
  <c r="AK46" i="1"/>
  <c r="AU45" i="1"/>
  <c r="AT45" i="1"/>
  <c r="AS45" i="1"/>
  <c r="AR45" i="1"/>
  <c r="AQ45" i="1"/>
  <c r="AP45" i="1"/>
  <c r="AO45" i="1"/>
  <c r="AL45" i="1"/>
  <c r="AK45" i="1"/>
  <c r="AU44" i="1"/>
  <c r="AT44" i="1"/>
  <c r="AS44" i="1"/>
  <c r="AR44" i="1"/>
  <c r="AQ44" i="1"/>
  <c r="AP44" i="1"/>
  <c r="AO44" i="1"/>
  <c r="AL44" i="1"/>
  <c r="AK44" i="1"/>
  <c r="AU43" i="1"/>
  <c r="AT43" i="1"/>
  <c r="AS43" i="1"/>
  <c r="AR43" i="1"/>
  <c r="AQ43" i="1"/>
  <c r="AP43" i="1"/>
  <c r="AO43" i="1"/>
  <c r="AL43" i="1"/>
  <c r="AK43" i="1"/>
  <c r="AU42" i="1"/>
  <c r="AT42" i="1"/>
  <c r="AS42" i="1"/>
  <c r="AR42" i="1"/>
  <c r="AQ42" i="1"/>
  <c r="AP42" i="1"/>
  <c r="AO42" i="1"/>
  <c r="AL42" i="1"/>
  <c r="AK42" i="1"/>
  <c r="AU41" i="1"/>
  <c r="AT41" i="1"/>
  <c r="AS41" i="1"/>
  <c r="AR41" i="1"/>
  <c r="AQ41" i="1"/>
  <c r="AP41" i="1"/>
  <c r="AO41" i="1"/>
  <c r="AL41" i="1"/>
  <c r="AK41" i="1"/>
  <c r="AU40" i="1"/>
  <c r="AT40" i="1"/>
  <c r="AS40" i="1"/>
  <c r="AR40" i="1"/>
  <c r="AQ40" i="1"/>
  <c r="AP40" i="1"/>
  <c r="AO40" i="1"/>
  <c r="AL40" i="1"/>
  <c r="AK40" i="1"/>
  <c r="AU39" i="1"/>
  <c r="AT39" i="1"/>
  <c r="AS39" i="1"/>
  <c r="AR39" i="1"/>
  <c r="AQ39" i="1"/>
  <c r="AP39" i="1"/>
  <c r="AO39" i="1"/>
  <c r="AL39" i="1"/>
  <c r="AK39" i="1"/>
  <c r="AU38" i="1"/>
  <c r="AT38" i="1"/>
  <c r="AS38" i="1"/>
  <c r="AR38" i="1"/>
  <c r="AQ38" i="1"/>
  <c r="AP38" i="1"/>
  <c r="AO38" i="1"/>
  <c r="AL38" i="1"/>
  <c r="AK38" i="1"/>
  <c r="AU37" i="1"/>
  <c r="AT37" i="1"/>
  <c r="AS37" i="1"/>
  <c r="AR37" i="1"/>
  <c r="AQ37" i="1"/>
  <c r="AP37" i="1"/>
  <c r="AO37" i="1"/>
  <c r="AL37" i="1"/>
  <c r="AK37" i="1"/>
  <c r="AU36" i="1"/>
  <c r="AT36" i="1"/>
  <c r="AS36" i="1"/>
  <c r="AR36" i="1"/>
  <c r="AQ36" i="1"/>
  <c r="AP36" i="1"/>
  <c r="AO36" i="1"/>
  <c r="AL36" i="1"/>
  <c r="AK36" i="1"/>
  <c r="AU35" i="1"/>
  <c r="AT35" i="1"/>
  <c r="AS35" i="1"/>
  <c r="AR35" i="1"/>
  <c r="AQ35" i="1"/>
  <c r="AP35" i="1"/>
  <c r="AO35" i="1"/>
  <c r="AL35" i="1"/>
  <c r="AK35" i="1"/>
  <c r="AU34" i="1"/>
  <c r="AT34" i="1"/>
  <c r="AS34" i="1"/>
  <c r="AR34" i="1"/>
  <c r="AQ34" i="1"/>
  <c r="AP34" i="1"/>
  <c r="AO34" i="1"/>
  <c r="AL34" i="1"/>
  <c r="AK34" i="1"/>
  <c r="AU33" i="1"/>
  <c r="AT33" i="1"/>
  <c r="AS33" i="1"/>
  <c r="AR33" i="1"/>
  <c r="AQ33" i="1"/>
  <c r="AP33" i="1"/>
  <c r="AO33" i="1"/>
  <c r="AL33" i="1"/>
  <c r="AK33" i="1"/>
  <c r="AU32" i="1"/>
  <c r="AT32" i="1"/>
  <c r="AS32" i="1"/>
  <c r="AR32" i="1"/>
  <c r="AQ32" i="1"/>
  <c r="AP32" i="1"/>
  <c r="AO32" i="1"/>
  <c r="AL32" i="1"/>
  <c r="AK32" i="1"/>
  <c r="AU31" i="1"/>
  <c r="AT31" i="1"/>
  <c r="AS31" i="1"/>
  <c r="AR31" i="1"/>
  <c r="AQ31" i="1"/>
  <c r="AP31" i="1"/>
  <c r="AO31" i="1"/>
  <c r="AL31" i="1"/>
  <c r="AK31" i="1"/>
  <c r="AU30" i="1"/>
  <c r="AT30" i="1"/>
  <c r="AS30" i="1"/>
  <c r="AR30" i="1"/>
  <c r="AQ30" i="1"/>
  <c r="AP30" i="1"/>
  <c r="AO30" i="1"/>
  <c r="AL30" i="1"/>
  <c r="AK30" i="1"/>
  <c r="AU29" i="1"/>
  <c r="AT29" i="1"/>
  <c r="AS29" i="1"/>
  <c r="AR29" i="1"/>
  <c r="AQ29" i="1"/>
  <c r="AP29" i="1"/>
  <c r="AO29" i="1"/>
  <c r="AL29" i="1"/>
  <c r="AK29" i="1"/>
  <c r="AU28" i="1"/>
  <c r="AT28" i="1"/>
  <c r="AS28" i="1"/>
  <c r="AR28" i="1"/>
  <c r="AQ28" i="1"/>
  <c r="AP28" i="1"/>
  <c r="AO28" i="1"/>
  <c r="AL28" i="1"/>
  <c r="AK28" i="1"/>
  <c r="AU27" i="1"/>
  <c r="AT27" i="1"/>
  <c r="AS27" i="1"/>
  <c r="AR27" i="1"/>
  <c r="AQ27" i="1"/>
  <c r="AP27" i="1"/>
  <c r="AO27" i="1"/>
  <c r="AL27" i="1"/>
  <c r="AK27" i="1"/>
  <c r="AU26" i="1"/>
  <c r="AT26" i="1"/>
  <c r="AS26" i="1"/>
  <c r="AR26" i="1"/>
  <c r="AQ26" i="1"/>
  <c r="AP26" i="1"/>
  <c r="AO26" i="1"/>
  <c r="AL26" i="1"/>
  <c r="AK26" i="1"/>
  <c r="AU25" i="1"/>
  <c r="AT25" i="1"/>
  <c r="AS25" i="1"/>
  <c r="AR25" i="1"/>
  <c r="AQ25" i="1"/>
  <c r="AP25" i="1"/>
  <c r="AO25" i="1"/>
  <c r="AL25" i="1"/>
  <c r="AK25" i="1"/>
  <c r="AU24" i="1"/>
  <c r="AT24" i="1"/>
  <c r="AS24" i="1"/>
  <c r="AR24" i="1"/>
  <c r="AQ24" i="1"/>
  <c r="AP24" i="1"/>
  <c r="AO24" i="1"/>
  <c r="AL24" i="1"/>
  <c r="AK24" i="1"/>
  <c r="AU23" i="1"/>
  <c r="AT23" i="1"/>
  <c r="AS23" i="1"/>
  <c r="AR23" i="1"/>
  <c r="AQ23" i="1"/>
  <c r="AP23" i="1"/>
  <c r="AO23" i="1"/>
  <c r="AL23" i="1"/>
  <c r="AK23" i="1"/>
  <c r="AU22" i="1"/>
  <c r="AT22" i="1"/>
  <c r="AS22" i="1"/>
  <c r="AR22" i="1"/>
  <c r="AQ22" i="1"/>
  <c r="AP22" i="1"/>
  <c r="AO22" i="1"/>
  <c r="AL22" i="1"/>
  <c r="AK22" i="1"/>
  <c r="AU21" i="1"/>
  <c r="AT21" i="1"/>
  <c r="AS21" i="1"/>
  <c r="AR21" i="1"/>
  <c r="AQ21" i="1"/>
  <c r="AP21" i="1"/>
  <c r="AO21" i="1"/>
  <c r="AL21" i="1"/>
  <c r="AK21" i="1"/>
  <c r="AU20" i="1"/>
  <c r="AT20" i="1"/>
  <c r="AS20" i="1"/>
  <c r="AR20" i="1"/>
  <c r="AQ20" i="1"/>
  <c r="AP20" i="1"/>
  <c r="AO20" i="1"/>
  <c r="AL20" i="1"/>
  <c r="AK20" i="1"/>
  <c r="AU19" i="1"/>
  <c r="AT19" i="1"/>
  <c r="AS19" i="1"/>
  <c r="AR19" i="1"/>
  <c r="AQ19" i="1"/>
  <c r="AP19" i="1"/>
  <c r="AO19" i="1"/>
  <c r="AL19" i="1"/>
  <c r="AK19" i="1"/>
  <c r="AU18" i="1"/>
  <c r="AT18" i="1"/>
  <c r="AS18" i="1"/>
  <c r="AR18" i="1"/>
  <c r="AQ18" i="1"/>
  <c r="AP18" i="1"/>
  <c r="AO18" i="1"/>
  <c r="AL18" i="1"/>
  <c r="AK18" i="1"/>
  <c r="AU17" i="1"/>
  <c r="AT17" i="1"/>
  <c r="AS17" i="1"/>
  <c r="AR17" i="1"/>
  <c r="AQ17" i="1"/>
  <c r="AP17" i="1"/>
  <c r="AO17" i="1"/>
  <c r="AL17" i="1"/>
  <c r="AK17" i="1"/>
  <c r="AU16" i="1"/>
  <c r="AT16" i="1"/>
  <c r="AS16" i="1"/>
  <c r="AR16" i="1"/>
  <c r="AQ16" i="1"/>
  <c r="AP16" i="1"/>
  <c r="AO16" i="1"/>
  <c r="AL16" i="1"/>
  <c r="AK16" i="1"/>
  <c r="AU15" i="1"/>
  <c r="AT15" i="1"/>
  <c r="AS15" i="1"/>
  <c r="AR15" i="1"/>
  <c r="AQ15" i="1"/>
  <c r="AP15" i="1"/>
  <c r="AO15" i="1"/>
  <c r="AL15" i="1"/>
  <c r="AK15" i="1"/>
  <c r="AU14" i="1"/>
  <c r="AT14" i="1"/>
  <c r="AS14" i="1"/>
  <c r="AR14" i="1"/>
  <c r="AQ14" i="1"/>
  <c r="AP14" i="1"/>
  <c r="AO14" i="1"/>
  <c r="AL14" i="1"/>
  <c r="AK14" i="1"/>
  <c r="AU13" i="1"/>
  <c r="AT13" i="1"/>
  <c r="AS13" i="1"/>
  <c r="AR13" i="1"/>
  <c r="AQ13" i="1"/>
  <c r="AP13" i="1"/>
  <c r="AO13" i="1"/>
  <c r="AL13" i="1"/>
  <c r="AK13" i="1"/>
  <c r="AU12" i="1"/>
  <c r="AT12" i="1"/>
  <c r="AS12" i="1"/>
  <c r="AR12" i="1"/>
  <c r="AQ12" i="1"/>
  <c r="AP12" i="1"/>
  <c r="AO12" i="1"/>
  <c r="AL12" i="1"/>
  <c r="AK12" i="1"/>
  <c r="AU11" i="1"/>
  <c r="AT11" i="1"/>
  <c r="AS11" i="1"/>
  <c r="AR11" i="1"/>
  <c r="AQ11" i="1"/>
  <c r="AP11" i="1"/>
  <c r="AO11" i="1"/>
  <c r="AL11" i="1"/>
  <c r="AK11" i="1"/>
  <c r="AU10" i="1"/>
  <c r="AT10" i="1"/>
  <c r="AS10" i="1"/>
  <c r="AR10" i="1"/>
  <c r="AQ10" i="1"/>
  <c r="AP10" i="1"/>
  <c r="AO10" i="1"/>
  <c r="AL10" i="1"/>
  <c r="AK10" i="1"/>
  <c r="AU9" i="1"/>
  <c r="AT9" i="1"/>
  <c r="AS9" i="1"/>
  <c r="AR9" i="1"/>
  <c r="AQ9" i="1"/>
  <c r="AP9" i="1"/>
  <c r="AO9" i="1"/>
  <c r="AL9" i="1"/>
  <c r="AK9" i="1"/>
  <c r="AU8" i="1"/>
  <c r="AT8" i="1"/>
  <c r="AS8" i="1"/>
  <c r="AR8" i="1"/>
  <c r="AQ8" i="1"/>
  <c r="AP8" i="1"/>
  <c r="AO8" i="1"/>
  <c r="AL8" i="1"/>
  <c r="AK8" i="1"/>
  <c r="AU7" i="1"/>
  <c r="AT7" i="1"/>
  <c r="AS7" i="1"/>
  <c r="AR7" i="1"/>
  <c r="AQ7" i="1"/>
  <c r="AP7" i="1"/>
  <c r="AO7" i="1"/>
  <c r="AL7" i="1"/>
  <c r="AK7" i="1"/>
  <c r="AU6" i="1"/>
  <c r="AT6" i="1"/>
  <c r="AS6" i="1"/>
  <c r="AR6" i="1"/>
  <c r="AQ6" i="1"/>
  <c r="AP6" i="1"/>
  <c r="AO6" i="1"/>
  <c r="AL6" i="1"/>
  <c r="AK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U5" i="1"/>
  <c r="AT5" i="1"/>
  <c r="AS5" i="1"/>
  <c r="AR5" i="1"/>
  <c r="AQ5" i="1"/>
  <c r="AP5" i="1"/>
  <c r="AO5" i="1"/>
  <c r="AL5" i="1"/>
  <c r="AK5" i="1"/>
  <c r="AM5" i="1" l="1"/>
  <c r="AM52" i="1"/>
  <c r="AM40" i="1"/>
  <c r="AM25" i="1"/>
  <c r="AM33" i="1"/>
  <c r="AM37" i="1"/>
  <c r="AM13" i="1"/>
  <c r="AM15" i="1"/>
  <c r="AM50" i="1"/>
  <c r="AM22" i="1"/>
  <c r="AM30" i="1"/>
  <c r="AM34" i="1"/>
  <c r="AV39" i="1"/>
  <c r="AM38" i="1"/>
  <c r="AV35" i="1"/>
  <c r="AV31" i="1"/>
  <c r="AM28" i="1"/>
  <c r="AM21" i="1"/>
  <c r="AM18" i="1"/>
  <c r="AV14" i="1"/>
  <c r="AM9" i="1"/>
  <c r="AV9" i="1"/>
  <c r="AM14" i="1"/>
  <c r="AV28" i="1"/>
  <c r="AM29" i="1"/>
  <c r="AM39" i="1"/>
  <c r="AM53" i="1"/>
  <c r="AV54" i="1"/>
  <c r="AM56" i="1"/>
  <c r="AM57" i="1"/>
  <c r="AV58" i="1"/>
  <c r="AM61" i="1"/>
  <c r="AM65" i="1"/>
  <c r="AM67" i="1"/>
  <c r="AM7" i="1"/>
  <c r="AV25" i="1"/>
  <c r="AV51" i="1"/>
  <c r="AV5" i="1"/>
  <c r="AM16" i="1"/>
  <c r="AV19" i="1"/>
  <c r="AM23" i="1"/>
  <c r="AM27" i="1"/>
  <c r="AM41" i="1"/>
  <c r="AM44" i="1"/>
  <c r="AM45" i="1"/>
  <c r="AM51" i="1"/>
  <c r="AV42" i="1"/>
  <c r="AV20" i="1"/>
  <c r="AV26" i="1"/>
  <c r="AV32" i="1"/>
  <c r="AV47" i="1"/>
  <c r="AV7" i="1"/>
  <c r="AV12" i="1"/>
  <c r="AM19" i="1"/>
  <c r="AV23" i="1"/>
  <c r="AV36" i="1"/>
  <c r="AV43" i="1"/>
  <c r="AV49" i="1"/>
  <c r="AV55" i="1"/>
  <c r="AV6" i="1"/>
  <c r="AV8" i="1"/>
  <c r="AM10" i="1"/>
  <c r="AM12" i="1"/>
  <c r="AV15" i="1"/>
  <c r="AM17" i="1"/>
  <c r="AV21" i="1"/>
  <c r="AV24" i="1"/>
  <c r="AM26" i="1"/>
  <c r="AV29" i="1"/>
  <c r="AM31" i="1"/>
  <c r="AM32" i="1"/>
  <c r="AV33" i="1"/>
  <c r="AM35" i="1"/>
  <c r="AM36" i="1"/>
  <c r="AV37" i="1"/>
  <c r="AV40" i="1"/>
  <c r="AM42" i="1"/>
  <c r="AM43" i="1"/>
  <c r="AV44" i="1"/>
  <c r="AM46" i="1"/>
  <c r="AM47" i="1"/>
  <c r="AV48" i="1"/>
  <c r="AM49" i="1"/>
  <c r="AV52" i="1"/>
  <c r="AM54" i="1"/>
  <c r="AM55" i="1"/>
  <c r="AV56" i="1"/>
  <c r="AM58" i="1"/>
  <c r="AM64" i="1"/>
  <c r="AV67" i="1"/>
  <c r="AV46" i="1"/>
  <c r="AV10" i="1"/>
  <c r="AM6" i="1"/>
  <c r="AM8" i="1"/>
  <c r="AV13" i="1"/>
  <c r="AV16" i="1"/>
  <c r="AV18" i="1"/>
  <c r="AM20" i="1"/>
  <c r="AV22" i="1"/>
  <c r="AM24" i="1"/>
  <c r="AV27" i="1"/>
  <c r="AV30" i="1"/>
  <c r="AV34" i="1"/>
  <c r="AV38" i="1"/>
  <c r="AV41" i="1"/>
  <c r="AV45" i="1"/>
  <c r="AM48" i="1"/>
  <c r="AV50" i="1"/>
  <c r="AV53" i="1"/>
  <c r="AV57" i="1"/>
  <c r="AV66" i="1"/>
  <c r="AM11" i="1"/>
  <c r="AM62" i="1"/>
  <c r="AM66" i="1"/>
  <c r="AV17" i="1"/>
  <c r="AV11" i="1"/>
  <c r="AM69" i="1"/>
  <c r="AV69" i="1"/>
  <c r="AM68" i="1"/>
  <c r="AV68" i="1"/>
  <c r="AV65" i="1"/>
  <c r="AV64" i="1"/>
  <c r="AV63" i="1"/>
  <c r="AM63" i="1"/>
  <c r="AV62" i="1"/>
  <c r="AV61" i="1"/>
  <c r="AM60" i="1"/>
  <c r="AV60" i="1"/>
  <c r="AV59" i="1"/>
  <c r="AM59" i="1"/>
  <c r="A58" i="1"/>
  <c r="A59" i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HC06</author>
    <author>Khaerunnisa</author>
    <author>Khaerunnisa Amrun</author>
    <author>Administrator</author>
  </authors>
  <commentList>
    <comment ref="N6" authorId="0" shapeId="0" xr:uid="{CD8521BF-A847-4512-955A-54ACC1327579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Visit IKN</t>
        </r>
      </text>
    </comment>
    <comment ref="O6" authorId="0" shapeId="0" xr:uid="{1E027678-6E3C-47BD-B5FF-90FA838EFA81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Meeting w client di Samarinda</t>
        </r>
      </text>
    </comment>
    <comment ref="V6" authorId="0" shapeId="0" xr:uid="{93571281-32BE-46F1-856B-B917EB8E2C50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Meeting w client di tarakan</t>
        </r>
      </text>
    </comment>
    <comment ref="W6" authorId="0" shapeId="0" xr:uid="{FA931E77-65A1-44B5-8858-42F615B249D3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Perjalanan TRK-BPN</t>
        </r>
      </text>
    </comment>
    <comment ref="AG6" authorId="0" shapeId="0" xr:uid="{9A187C72-9F55-48B4-8619-06132DEFBBDB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Pengecekan unit di Banjarmasin</t>
        </r>
      </text>
    </comment>
    <comment ref="AH6" authorId="0" shapeId="0" xr:uid="{E74B4855-87B0-40D6-80CD-9E344BFB667E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Pengecekan unit di Banjarmasin</t>
        </r>
      </text>
    </comment>
    <comment ref="R10" authorId="0" shapeId="0" xr:uid="{7112E178-C74F-4991-A89E-E7C284CE5517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Perjalanan ke 022C tiba pkl 22.00</t>
        </r>
      </text>
    </comment>
    <comment ref="S10" authorId="0" shapeId="0" xr:uid="{3948E0B3-D3E6-479D-BA00-D66294167689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Visit 022C</t>
        </r>
      </text>
    </comment>
    <comment ref="T10" authorId="0" shapeId="0" xr:uid="{2025036B-4A6A-42E2-AB39-25089FAA02F3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Visit 022C</t>
        </r>
      </text>
    </comment>
    <comment ref="U10" authorId="0" shapeId="0" xr:uid="{B8588E0F-1936-48DB-A725-BBD6A03C1340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Visit 022C</t>
        </r>
      </text>
    </comment>
    <comment ref="V10" authorId="0" shapeId="0" xr:uid="{3460731D-0FA1-42DA-864D-BB2E3864DE70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Kembali ke Balikpapan pkl 06.00 WITA</t>
        </r>
      </text>
    </comment>
    <comment ref="AC10" authorId="0" shapeId="0" xr:uid="{CAFE695E-5CF2-49D3-81CF-60C7C161532F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Meeting with client di Jakarta</t>
        </r>
      </text>
    </comment>
    <comment ref="AD10" authorId="0" shapeId="0" xr:uid="{79345DC3-C37F-462D-8D81-7A3ADEEC6BD0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Meeting with client di Jakarta</t>
        </r>
      </text>
    </comment>
    <comment ref="AE10" authorId="0" shapeId="0" xr:uid="{1A3CF7B5-ABFE-417C-BA23-BC2C2F0E722C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AF10" authorId="0" shapeId="0" xr:uid="{7481BC9A-F94F-4A05-9D68-9110D4BBD790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Perjalanan dari 025C - Jakarta</t>
        </r>
      </text>
    </comment>
    <comment ref="AG10" authorId="0" shapeId="0" xr:uid="{B50ABA58-41B7-425C-8A3E-B34547310CD8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Visit BO Jakarta</t>
        </r>
      </text>
    </comment>
    <comment ref="AH10" authorId="0" shapeId="0" xr:uid="{C25630BC-FFEE-464C-8675-F895FFB0D51D}">
      <text>
        <r>
          <rPr>
            <b/>
            <sz val="9"/>
            <color indexed="81"/>
            <rFont val="Tahoma"/>
            <family val="2"/>
          </rPr>
          <t>HC06:</t>
        </r>
        <r>
          <rPr>
            <sz val="9"/>
            <color indexed="81"/>
            <rFont val="Tahoma"/>
            <family val="2"/>
          </rPr>
          <t xml:space="preserve">
Visit BO Jakarta</t>
        </r>
      </text>
    </comment>
    <comment ref="M11" authorId="1" shapeId="0" xr:uid="{EBEEDE5F-01F6-4599-A908-74F6D5E3DEA4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N11" authorId="1" shapeId="0" xr:uid="{0E81BDF3-6104-4E9D-9808-C401B066B48D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O11" authorId="1" shapeId="0" xr:uid="{5FD99B15-D0BA-4E90-84AF-EBB8EFA16A6D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P11" authorId="1" shapeId="0" xr:uid="{AF7BC117-E9E0-416D-8476-EF5B16D5CE0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Q11" authorId="1" shapeId="0" xr:uid="{70CA6F88-32D5-42A6-98B1-35C8664CB3A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R11" authorId="1" shapeId="0" xr:uid="{456175CA-6D21-4E7F-B6AA-16E3DAE65FB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S11" authorId="1" shapeId="0" xr:uid="{C96C1384-4104-4A44-B3F2-44C6B6E7CDDA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T11" authorId="1" shapeId="0" xr:uid="{D1EF8C60-804D-44CF-B650-E72982F11384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U11" authorId="1" shapeId="0" xr:uid="{59B32EEB-7786-4C07-821E-71050AFD4F2D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V11" authorId="1" shapeId="0" xr:uid="{82A37E41-5F0B-41CA-97DE-9F41EA9AAB0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W11" authorId="1" shapeId="0" xr:uid="{56FEAA9A-7E2C-41B0-A49A-6E9E3417DDA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X11" authorId="1" shapeId="0" xr:uid="{CCA91109-ED2B-436C-90D6-8B087448E53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Z11" authorId="1" shapeId="0" xr:uid="{CEEED0CA-ABC6-4CFC-A355-5DB44BFBA180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AA11" authorId="1" shapeId="0" xr:uid="{428E295E-CF32-4AB0-B1BE-37BADF40C2C4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AB11" authorId="1" shapeId="0" xr:uid="{99F595C7-DD6A-4A8D-B035-3F065B49003A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AC11" authorId="1" shapeId="0" xr:uid="{240805BC-89AE-48E9-A252-CD1B4B6206BD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AD11" authorId="1" shapeId="0" xr:uid="{E4BBF069-5626-4647-A53F-2C5F77BB9F9E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AE11" authorId="1" shapeId="0" xr:uid="{AADCE18B-2808-4114-BEF3-04CA6E3F5637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AF11" authorId="1" shapeId="0" xr:uid="{BC401B19-6074-4ED4-902C-3797B2A9985D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AG11" authorId="1" shapeId="0" xr:uid="{9BDC6D6A-5DDE-4C26-A401-71B4378C088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AH11" authorId="1" shapeId="0" xr:uid="{EF2E0A67-AE5E-4923-8470-C53E1BC1433A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025C</t>
        </r>
      </text>
    </comment>
    <comment ref="F12" authorId="2" shapeId="0" xr:uid="{192F78BB-EC31-41FC-BBF2-6498CE1D0DC6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PANJANG</t>
        </r>
      </text>
    </comment>
    <comment ref="G12" authorId="2" shapeId="0" xr:uid="{F24BE0EF-D388-4C4E-8BD3-E4E35C4895C5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PANJANG</t>
        </r>
      </text>
    </comment>
    <comment ref="O12" authorId="2" shapeId="0" xr:uid="{B848DD0F-8C92-40E0-A354-D29CF9DB8CCF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Finger in 07.58</t>
        </r>
      </text>
    </comment>
    <comment ref="P12" authorId="2" shapeId="0" xr:uid="{F6C62241-8238-44A3-A43D-FC8D8B3A2227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Finger in 06.51</t>
        </r>
      </text>
    </comment>
    <comment ref="I13" authorId="2" shapeId="0" xr:uid="{07EDB09A-F7FB-44FB-83B3-C7277D8553EB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PANJANG</t>
        </r>
      </text>
    </comment>
    <comment ref="E15" authorId="1" shapeId="0" xr:uid="{640165F2-4ED9-4872-945E-19A3A413CDA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Lembur Payroll April 
07.45-17.00</t>
        </r>
      </text>
    </comment>
    <comment ref="F15" authorId="1" shapeId="0" xr:uid="{44E759D1-5203-4C2B-B38A-C45C8A4C35E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Lembur Payroll April 
17.00-21.20</t>
        </r>
      </text>
    </comment>
    <comment ref="G15" authorId="1" shapeId="0" xr:uid="{A63AFF88-5C88-4F96-B3AD-3BAAEE8A13C4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Lembur Payroll April 01 Juni 2026 
17.00-22.15</t>
        </r>
      </text>
    </comment>
    <comment ref="I15" authorId="1" shapeId="0" xr:uid="{28081011-66E8-4B58-9086-8453C46A1DAE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Lembur support Pratasaba
17.00-20.49
digabung dengan lembur support Prata 15 Juni 2026
17.00-20.30 </t>
        </r>
      </text>
    </comment>
    <comment ref="M15" authorId="1" shapeId="0" xr:uid="{6DB1BB5E-1F0D-4A7C-927C-98BD50B3830E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Lembur support Pratasaba
17.00-20.49</t>
        </r>
      </text>
    </comment>
    <comment ref="Q15" authorId="1" shapeId="0" xr:uid="{CDA6CC79-0FE3-4192-AE88-6BFE9486DBC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Lembur support tukang DNC
07.30-12.30
Lembur digabung support karyawan Prata 15 Juni 2026
17.00-20.30</t>
        </r>
      </text>
    </comment>
    <comment ref="U15" authorId="1" shapeId="0" xr:uid="{D204989F-E5B3-4E9C-8E5F-1A0C4FCBE89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Lembur support pemasangan plafond HO
17.00-21.30</t>
        </r>
      </text>
    </comment>
    <comment ref="E17" authorId="1" shapeId="0" xr:uid="{EA0D7E3E-50B5-4420-803F-5808864EE4E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site 022C</t>
        </r>
      </text>
    </comment>
    <comment ref="F17" authorId="1" shapeId="0" xr:uid="{A64B5404-D667-4C25-BA44-531B5299081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site 022C</t>
        </r>
      </text>
    </comment>
    <comment ref="V17" authorId="1" shapeId="0" xr:uid="{5D35DD23-FDEA-459A-9CBD-831E496BF05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HO Balikpapan</t>
        </r>
      </text>
    </comment>
    <comment ref="W17" authorId="1" shapeId="0" xr:uid="{7132321A-E1FC-4717-819F-D323303EFAA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HO Balikpapan</t>
        </r>
      </text>
    </comment>
    <comment ref="X17" authorId="1" shapeId="0" xr:uid="{DD76DC55-D180-4C05-B450-F2482BF2DE2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APS</t>
        </r>
      </text>
    </comment>
    <comment ref="Y17" authorId="2" shapeId="0" xr:uid="{4CE289B7-DA67-46CC-A20B-9B3054574691}">
      <text>
        <r>
          <rPr>
            <b/>
            <sz val="9"/>
            <color indexed="81"/>
            <rFont val="Tahoma"/>
            <charset val="1"/>
          </rPr>
          <t>Khaerunnisa Amrun:</t>
        </r>
        <r>
          <rPr>
            <sz val="9"/>
            <color indexed="81"/>
            <rFont val="Tahoma"/>
            <charset val="1"/>
          </rPr>
          <t xml:space="preserve">
OFF</t>
        </r>
      </text>
    </comment>
    <comment ref="Z17" authorId="1" shapeId="0" xr:uid="{23940FD0-DC66-4D08-A632-26285FF7B6FF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HO Balikpapan</t>
        </r>
      </text>
    </comment>
    <comment ref="AA17" authorId="1" shapeId="0" xr:uid="{2E05BC98-D529-4F3A-B99A-3C42C92414C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site 022C</t>
        </r>
      </text>
    </comment>
    <comment ref="AB17" authorId="1" shapeId="0" xr:uid="{F9D0F1B5-B4BC-4CF3-90D0-69E6F0D57B67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site 022C</t>
        </r>
      </text>
    </comment>
    <comment ref="AC17" authorId="1" shapeId="0" xr:uid="{40D5D46B-9C04-404E-A36A-91EDEFC0CCF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site 022C</t>
        </r>
      </text>
    </comment>
    <comment ref="AD17" authorId="1" shapeId="0" xr:uid="{8D844818-8512-4491-B490-A3D6F49E6AD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site 022C</t>
        </r>
      </text>
    </comment>
    <comment ref="AE17" authorId="1" shapeId="0" xr:uid="{64286A65-E9AE-4B81-A647-C860EBE4D967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site 022C</t>
        </r>
      </text>
    </comment>
    <comment ref="AF17" authorId="1" shapeId="0" xr:uid="{0E7ED878-ADDC-4C99-8D74-B791B746745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site 022C</t>
        </r>
      </text>
    </comment>
    <comment ref="AG17" authorId="1" shapeId="0" xr:uid="{4792EB2E-296B-4B44-8BB3-5D63A459A5A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site 022C</t>
        </r>
      </text>
    </comment>
    <comment ref="AH17" authorId="1" shapeId="0" xr:uid="{F7A77890-4FFF-4A17-9AA1-49DE6BF09F3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Visit site 022C</t>
        </r>
      </text>
    </comment>
    <comment ref="V20" authorId="2" shapeId="0" xr:uid="{FD310F22-439C-48DB-B7BA-C5140F0ADB4D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Meeting with Vendor di Samarinda</t>
        </r>
      </text>
    </comment>
    <comment ref="E21" authorId="1" shapeId="0" xr:uid="{DEB622AF-CDB2-4F53-A7DB-EFEEBAA7BACD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F21" authorId="1" shapeId="0" xr:uid="{55EBE317-DF0D-481C-A598-19FC49D979DA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G21" authorId="1" shapeId="0" xr:uid="{F40C1855-9BCE-4DE1-A5EE-937A4805AB4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H21" authorId="1" shapeId="0" xr:uid="{0D16B567-0588-4719-AE99-949D60B8BF2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I21" authorId="1" shapeId="0" xr:uid="{5151859B-952D-49EA-9956-19A1D6DBD6F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J21" authorId="1" shapeId="0" xr:uid="{B8168AC6-1705-4A28-BC11-5D72CEC2EA4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K21" authorId="1" shapeId="0" xr:uid="{BEC64EC4-8ADC-40AA-9B00-29939CABC9F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L21" authorId="1" shapeId="0" xr:uid="{6C88DCB4-7D3F-423C-9CB7-C50043C1843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M21" authorId="1" shapeId="0" xr:uid="{005EB2D0-C743-4FC7-8AD7-CB882C4BAAB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N21" authorId="1" shapeId="0" xr:uid="{E2B1848A-70D3-4D8D-B4A4-03F47588535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O21" authorId="1" shapeId="0" xr:uid="{325F9D8C-C8EF-4F2C-B0AC-C85B8A0AA49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P21" authorId="1" shapeId="0" xr:uid="{2A88B328-C85C-4C15-9846-1A2EACEC5B20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Perjalanan kembali ke Balikpapan</t>
        </r>
      </text>
    </comment>
    <comment ref="S21" authorId="2" shapeId="0" xr:uid="{3542E7FA-7915-4D7F-A494-382B6AB9320B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OFF sepulang dari site 022C</t>
        </r>
      </text>
    </comment>
    <comment ref="U21" authorId="2" shapeId="0" xr:uid="{8949E6DD-61D1-4684-9293-E89BAC5C3470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OFF sepulang dari site 022C</t>
        </r>
      </text>
    </comment>
    <comment ref="V21" authorId="2" shapeId="0" xr:uid="{2BB9EDCB-647F-4252-82A5-76709BF2C2A3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OFF sepulang dari site 022C</t>
        </r>
      </text>
    </comment>
    <comment ref="W21" authorId="2" shapeId="0" xr:uid="{36D46917-701D-4F45-B67F-CAA9AFB8025E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OFF sepulang dari site 022C</t>
        </r>
      </text>
    </comment>
    <comment ref="G22" authorId="3" shapeId="0" xr:uid="{5FD3AAC0-468F-4A0F-A454-4475AFFC1014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14.00-16.00
Berobat di Panacea</t>
        </r>
      </text>
    </comment>
    <comment ref="M22" authorId="3" shapeId="0" xr:uid="{3FBAEC01-E674-487F-9CCF-4D624B28768B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09.00-11.00
Izin ke kantor pajak</t>
        </r>
      </text>
    </comment>
    <comment ref="AA22" authorId="3" shapeId="0" xr:uid="{FB1D5086-789B-425C-9434-89490001530B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13.00-15.00
Dr gigi panacea</t>
        </r>
      </text>
    </comment>
    <comment ref="E23" authorId="2" shapeId="0" xr:uid="{F08B2714-CBFB-4C43-82A9-647E368A9A5A}">
      <text>
        <r>
          <rPr>
            <b/>
            <sz val="9"/>
            <color indexed="81"/>
            <rFont val="Tahoma"/>
            <charset val="1"/>
          </rPr>
          <t>Khaerunnisa Amrun:</t>
        </r>
        <r>
          <rPr>
            <sz val="9"/>
            <color indexed="81"/>
            <rFont val="Tahoma"/>
            <charset val="1"/>
          </rPr>
          <t xml:space="preserve">
OFF</t>
        </r>
      </text>
    </comment>
    <comment ref="J23" authorId="1" shapeId="0" xr:uid="{BEE8EC52-4921-456A-BE52-14262516CD3E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K23" authorId="1" shapeId="0" xr:uid="{17A24509-1C65-440C-B280-47B5FD91123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L23" authorId="1" shapeId="0" xr:uid="{341744AF-9161-4CAE-B2F6-175BD1D6F9C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M23" authorId="1" shapeId="0" xr:uid="{FA9DD3E6-1F85-41EC-9C8F-759CE6AB09B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N23" authorId="1" shapeId="0" xr:uid="{36F356FF-1D5D-4B87-B1F7-6F67BFDECB86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O23" authorId="1" shapeId="0" xr:uid="{DBB073BD-0014-44D1-8FC9-72503FD7112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P23" authorId="1" shapeId="0" xr:uid="{B465ED8A-66E0-4D5D-A4E3-085AE0F9C9B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Q23" authorId="1" shapeId="0" xr:uid="{C45CFB9D-25A4-4A0F-ABAD-82C7B0BD8A4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R23" authorId="1" shapeId="0" xr:uid="{AB2D6730-AC52-451C-A1C9-726431685B56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S23" authorId="1" shapeId="0" xr:uid="{28BD3C4C-9CE7-4209-ABD1-878CA6A1EEE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T23" authorId="1" shapeId="0" xr:uid="{9E264104-C969-464A-986A-B1BFBEB0C0C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U23" authorId="1" shapeId="0" xr:uid="{21EEC13A-46FE-4589-AC53-0F3C49E28DF9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V23" authorId="1" shapeId="0" xr:uid="{8AA45726-D93F-4FD1-AF58-6F149A104742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W23" authorId="1" shapeId="0" xr:uid="{84167816-7137-4468-9965-A522B73AEF3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X23" authorId="1" shapeId="0" xr:uid="{7863FD92-D3AD-4C82-9B96-DF69DDFB2F4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Y23" authorId="1" shapeId="0" xr:uid="{CE5331DF-D433-4FF9-8D3F-6DB6DB140474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Z23" authorId="1" shapeId="0" xr:uid="{7207739C-EE16-4CFB-9B3D-0D7ECF0DF8C4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AA23" authorId="1" shapeId="0" xr:uid="{5A494DC2-0D78-4562-B7A1-DF6EB34F916A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AB23" authorId="1" shapeId="0" xr:uid="{02EDFA41-04B3-4D08-805D-0B82B883E686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AC23" authorId="1" shapeId="0" xr:uid="{4BD574B2-166D-49CA-9144-D107FD7AD9B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AD23" authorId="1" shapeId="0" xr:uid="{DB44F07A-5446-499C-9271-804DF596DA8E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AE23" authorId="1" shapeId="0" xr:uid="{67528658-E7BF-46A3-9CB0-AB51FE0F6616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AF23" authorId="1" shapeId="0" xr:uid="{562E883D-8155-4CA8-BC1C-581D7113E42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AG23" authorId="1" shapeId="0" xr:uid="{5EED5AC8-5A9C-4780-AB3E-8A203C4F5D7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AH23" authorId="1" shapeId="0" xr:uid="{5772DEBF-0F13-41FD-BB65-C6F708A1609F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Maratua</t>
        </r>
      </text>
    </comment>
    <comment ref="V24" authorId="3" shapeId="0" xr:uid="{5A40FE4A-C6D9-427C-BEDA-30DB525BB930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10.00-12.00
Mengurus suket buta warna</t>
        </r>
      </text>
    </comment>
    <comment ref="AC25" authorId="1" shapeId="0" xr:uid="{7AA9CC8B-293E-4BC1-8089-B8460ED2AEF7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Maintenance MT 001 di site 022C</t>
        </r>
      </text>
    </comment>
    <comment ref="AD25" authorId="1" shapeId="0" xr:uid="{B7CF8B08-C8B9-44A7-97AC-B5E88C4636A7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Maintenance MT 001 di site 022C</t>
        </r>
      </text>
    </comment>
    <comment ref="AE25" authorId="1" shapeId="0" xr:uid="{2910CFF0-3613-459E-B5FE-C1C4EB560DFF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Maintenance MT 001 di site 022C</t>
        </r>
      </text>
    </comment>
    <comment ref="AF25" authorId="1" shapeId="0" xr:uid="{2E41ADF3-73AF-43C0-9AA2-658176082412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Maintenance MT 001 di site 022C</t>
        </r>
      </text>
    </comment>
    <comment ref="AG25" authorId="1" shapeId="0" xr:uid="{A68CA50B-3689-4795-93E4-391CCCDBD2B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Maintenance MT 001 di site 022C</t>
        </r>
      </text>
    </comment>
    <comment ref="AH25" authorId="1" shapeId="0" xr:uid="{4E1EB3C5-C1AB-4D79-8D96-8230CBBDD20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Maintenance MT 001 di site 022C</t>
        </r>
      </text>
    </comment>
    <comment ref="N27" authorId="3" shapeId="0" xr:uid="{17E10F7E-C25C-486B-BD63-47E748A7F41B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10.50-12.00
Izin ke Samsat drive thru</t>
        </r>
      </text>
    </comment>
    <comment ref="E28" authorId="1" shapeId="0" xr:uid="{5E1B1917-D945-4CB6-8EC9-4683E5DC1A4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Lembur Payroll Mei
10.25-20.10</t>
        </r>
      </text>
    </comment>
    <comment ref="W28" authorId="3" shapeId="0" xr:uid="{EA385140-0BBC-4007-8131-B44E9099086C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13.30-15.00
mengurus keperluan pribadi</t>
        </r>
      </text>
    </comment>
    <comment ref="W30" authorId="2" shapeId="0" xr:uid="{4D3E78B5-9267-455B-B7FB-26B513335EAF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Finger in 07.41</t>
        </r>
      </text>
    </comment>
    <comment ref="AA30" authorId="2" shapeId="0" xr:uid="{73DA12C9-73D1-49A0-BA7C-30D23504276C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Finger in 07.47</t>
        </r>
      </text>
    </comment>
    <comment ref="AC30" authorId="2" shapeId="0" xr:uid="{2EA198FC-C7DD-4EDA-9871-551F1BFE3131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Istri melahirkan</t>
        </r>
      </text>
    </comment>
    <comment ref="AD30" authorId="2" shapeId="0" xr:uid="{15B68E94-ADC0-44AE-B3FB-22AF2035DBFD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Istri melahirkan</t>
        </r>
      </text>
    </comment>
    <comment ref="K31" authorId="2" shapeId="0" xr:uid="{6035F082-BD6B-49C7-B733-DB80A9ADD411}">
      <text>
        <r>
          <rPr>
            <b/>
            <sz val="9"/>
            <color indexed="81"/>
            <rFont val="Tahoma"/>
            <charset val="1"/>
          </rPr>
          <t>Khaerunnisa Amrun:</t>
        </r>
        <r>
          <rPr>
            <sz val="9"/>
            <color indexed="81"/>
            <rFont val="Tahoma"/>
            <charset val="1"/>
          </rPr>
          <t xml:space="preserve">
OFF</t>
        </r>
      </text>
    </comment>
    <comment ref="R31" authorId="2" shapeId="0" xr:uid="{A4159A7E-82C4-4442-A6D6-AB1AD52AF78F}">
      <text>
        <r>
          <rPr>
            <b/>
            <sz val="9"/>
            <color indexed="81"/>
            <rFont val="Tahoma"/>
            <charset val="1"/>
          </rPr>
          <t>Khaerunnisa Amrun:</t>
        </r>
        <r>
          <rPr>
            <sz val="9"/>
            <color indexed="81"/>
            <rFont val="Tahoma"/>
            <charset val="1"/>
          </rPr>
          <t xml:space="preserve">
OFF</t>
        </r>
      </text>
    </comment>
    <comment ref="X31" authorId="2" shapeId="0" xr:uid="{47CB506C-4D6E-4354-97B0-FD102220EF8A}">
      <text>
        <r>
          <rPr>
            <b/>
            <sz val="9"/>
            <color indexed="81"/>
            <rFont val="Tahoma"/>
            <charset val="1"/>
          </rPr>
          <t>Khaerunnisa Amrun:</t>
        </r>
        <r>
          <rPr>
            <sz val="9"/>
            <color indexed="81"/>
            <rFont val="Tahoma"/>
            <charset val="1"/>
          </rPr>
          <t xml:space="preserve">
OFF</t>
        </r>
      </text>
    </comment>
    <comment ref="Y31" authorId="2" shapeId="0" xr:uid="{D913E3DD-CD89-4C2A-A33B-10830B352D57}">
      <text>
        <r>
          <rPr>
            <b/>
            <sz val="9"/>
            <color indexed="81"/>
            <rFont val="Tahoma"/>
            <charset val="1"/>
          </rPr>
          <t>Khaerunnisa Amrun:</t>
        </r>
        <r>
          <rPr>
            <sz val="9"/>
            <color indexed="81"/>
            <rFont val="Tahoma"/>
            <charset val="1"/>
          </rPr>
          <t xml:space="preserve">
OFF</t>
        </r>
      </text>
    </comment>
    <comment ref="P34" authorId="3" shapeId="0" xr:uid="{E20971E3-09B8-4314-9737-19CE512B4A73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10.00-12.00
Koordinasi tukang rumah</t>
        </r>
      </text>
    </comment>
    <comment ref="E35" authorId="1" shapeId="0" xr:uid="{03A20269-B7A9-441D-AC78-7C0CE3D33B1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Perjalanan kembali ke Balikpapan dari site 017C</t>
        </r>
      </text>
    </comment>
    <comment ref="AG36" authorId="2" shapeId="0" xr:uid="{74FC4365-69E0-41FD-90AA-5D8ABD2751E8}">
      <text>
        <r>
          <rPr>
            <b/>
            <sz val="9"/>
            <color indexed="81"/>
            <rFont val="Tahoma"/>
            <charset val="1"/>
          </rPr>
          <t>Khaerunnisa Amrun:</t>
        </r>
        <r>
          <rPr>
            <sz val="9"/>
            <color indexed="81"/>
            <rFont val="Tahoma"/>
            <charset val="1"/>
          </rPr>
          <t xml:space="preserve">
BIMTEK DISNAKER</t>
        </r>
      </text>
    </comment>
    <comment ref="AH36" authorId="2" shapeId="0" xr:uid="{86E2CD42-FB01-42A6-B342-C11FBCE407A9}">
      <text>
        <r>
          <rPr>
            <b/>
            <sz val="9"/>
            <color indexed="81"/>
            <rFont val="Tahoma"/>
            <charset val="1"/>
          </rPr>
          <t>Khaerunnisa Amrun:</t>
        </r>
        <r>
          <rPr>
            <sz val="9"/>
            <color indexed="81"/>
            <rFont val="Tahoma"/>
            <charset val="1"/>
          </rPr>
          <t xml:space="preserve">
BIMTEK DISNAKER</t>
        </r>
      </text>
    </comment>
    <comment ref="W37" authorId="2" shapeId="0" xr:uid="{6B3DE1A0-F120-4BBB-959F-451612952EA0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Finger in 07.52</t>
        </r>
      </text>
    </comment>
    <comment ref="N39" authorId="1" shapeId="0" xr:uid="{5A6BC11C-3ADD-4D96-898B-3EAA988013ED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O39" authorId="1" shapeId="0" xr:uid="{E6227F1F-EEBD-4A6F-B7DB-395E274CCB72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P39" authorId="1" shapeId="0" xr:uid="{EB9A4BA8-A4E9-4A90-A68F-20F445CA1E0E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Q39" authorId="1" shapeId="0" xr:uid="{2E172101-9355-4178-89F4-F40CBA470AB4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R39" authorId="1" shapeId="0" xr:uid="{6BD8DDEA-9506-46AB-AC62-92AEF20CE5B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S39" authorId="1" shapeId="0" xr:uid="{4EB5E247-0082-4768-AD9F-2455C3AC90B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T39" authorId="1" shapeId="0" xr:uid="{4BB1605E-5866-43FA-A5C8-5BB43BE813D4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U39" authorId="1" shapeId="0" xr:uid="{6B434652-541B-445C-819F-719B1F3AE78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V39" authorId="1" shapeId="0" xr:uid="{2C3C1021-C692-4E76-8B7A-A4E9B484889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W39" authorId="1" shapeId="0" xr:uid="{ADC6965D-B4D3-4C8C-9BD9-2B0528FC1C0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X39" authorId="1" shapeId="0" xr:uid="{E5395186-E0BB-4FA1-AB38-5956A81B98A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Y39" authorId="1" shapeId="0" xr:uid="{4EADF8DF-B798-441E-9384-8BE8322BD2E4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Z39" authorId="1" shapeId="0" xr:uid="{028F4049-B833-47AE-9481-51010D155C5E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AA39" authorId="1" shapeId="0" xr:uid="{E9E9B9A2-CB8A-4FB5-B1A0-9C9666FE075A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AB39" authorId="1" shapeId="0" xr:uid="{12958BDF-1CD4-4ADF-95C5-BDC42AF2A05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AC39" authorId="1" shapeId="0" xr:uid="{5984A24C-3E72-4D1E-8A63-34C89B1468B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AD39" authorId="1" shapeId="0" xr:uid="{94AFFF5A-D9A4-48AF-8EA4-EDF2702AA7F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AE39" authorId="1" shapeId="0" xr:uid="{0C3752E0-CC02-47B7-B623-6E55DEA0ADB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AF39" authorId="2" shapeId="0" xr:uid="{7C28DA71-C943-4DCF-B5D5-DD69CED3DCBE}">
      <text>
        <r>
          <rPr>
            <b/>
            <sz val="9"/>
            <color indexed="81"/>
            <rFont val="Tahoma"/>
            <charset val="1"/>
          </rPr>
          <t>Khaerunnisa Amrun:</t>
        </r>
        <r>
          <rPr>
            <sz val="9"/>
            <color indexed="81"/>
            <rFont val="Tahoma"/>
            <charset val="1"/>
          </rPr>
          <t xml:space="preserve">
OFF</t>
        </r>
      </text>
    </comment>
    <comment ref="AG39" authorId="1" shapeId="0" xr:uid="{997F3053-3D2A-4311-97D5-86BE24D3157E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AH39" authorId="1" shapeId="0" xr:uid="{590FBEA2-E917-4297-8406-611C8A1AA406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E40" authorId="1" shapeId="0" xr:uid="{EC211195-D492-42B3-BA3B-89C8EF7508C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Lembur Payroll Mei
09.01-21.10</t>
        </r>
      </text>
    </comment>
    <comment ref="E41" authorId="1" shapeId="0" xr:uid="{704B6654-7BA3-4883-8DAE-64EB80407607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F41" authorId="1" shapeId="0" xr:uid="{40E86EE9-5AEA-4455-80D4-FEF26D6AAC29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G41" authorId="1" shapeId="0" xr:uid="{8D6EE420-437A-43D7-B7E1-808EDAACCE89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H41" authorId="1" shapeId="0" xr:uid="{0810E226-0FBD-4740-BE68-28369DABBBBE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I41" authorId="1" shapeId="0" xr:uid="{3F726E7D-33CE-4434-B9BE-658E5090C0E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J41" authorId="1" shapeId="0" xr:uid="{BC86B861-36B5-4A53-B596-9ACDB45A498A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K41" authorId="1" shapeId="0" xr:uid="{C079A4B2-6F73-4B1D-9E8D-FC2327582809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L41" authorId="1" shapeId="0" xr:uid="{E8CC287F-35F3-437B-A01A-017544890910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M41" authorId="1" shapeId="0" xr:uid="{D6332F78-E484-4161-B9EA-693DF89EE17D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N41" authorId="1" shapeId="0" xr:uid="{42EE2709-230E-40AB-8B2E-DD9C3EC6A717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O41" authorId="1" shapeId="0" xr:uid="{B460D19E-B63C-40E5-BCCF-3E2D42810B8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P41" authorId="1" shapeId="0" xr:uid="{EEBD8066-689E-46FA-8304-E3F5A00724D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Q41" authorId="1" shapeId="0" xr:uid="{90E2A4C6-A232-42B1-9DAD-3741F05AB716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R41" authorId="1" shapeId="0" xr:uid="{9B0EFD44-3471-42AA-BA73-C0FAB5E018AE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S41" authorId="1" shapeId="0" xr:uid="{104F2FBC-5A27-452C-B93E-12973546DB57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T41" authorId="1" shapeId="0" xr:uid="{E506A533-438A-400D-823E-D55027CE67B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U41" authorId="1" shapeId="0" xr:uid="{9CBA4A3E-306E-44EB-8803-148AE15E51F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V41" authorId="1" shapeId="0" xr:uid="{0F2F4A6C-F44D-4800-8D2C-F080EB3C9FAE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W41" authorId="1" shapeId="0" xr:uid="{6EEEE6D4-EA11-47F3-8638-5B1324E6B3C4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X41" authorId="1" shapeId="0" xr:uid="{C227419A-2CE8-40EA-8449-8EFFF343C75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Y41" authorId="1" shapeId="0" xr:uid="{17FAAE6B-8951-498B-96C5-8C81CA40E29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Z41" authorId="1" shapeId="0" xr:uid="{CBACCD2E-50E1-4239-A248-3E1B25689AB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AA41" authorId="1" shapeId="0" xr:uid="{E02A44E7-2E0E-4ED7-8F46-11E70453C64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AB41" authorId="1" shapeId="0" xr:uid="{9FFCC4F3-944D-4454-8795-3EDA02D8179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AC41" authorId="1" shapeId="0" xr:uid="{5038AEE2-0336-46A4-8874-B0561592FB3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AD41" authorId="1" shapeId="0" xr:uid="{39E14617-7BAA-4CC4-9EFF-9E88D537B78D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AE41" authorId="1" shapeId="0" xr:uid="{4BE23C0D-AE54-44DF-90D6-07A5E47AEB6A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AF41" authorId="1" shapeId="0" xr:uid="{F8D82E5F-CF21-4BB1-AB2B-A4ED1C9DBF3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AG41" authorId="1" shapeId="0" xr:uid="{47F36A0F-8F75-430E-9F76-1A7462FFC6B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AH41" authorId="1" shapeId="0" xr:uid="{E0A0BAB7-B6B2-45E8-829B-8F669D4A0A92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Pratasaba</t>
        </r>
      </text>
    </comment>
    <comment ref="E42" authorId="1" shapeId="0" xr:uid="{3D54B34B-266F-4DAC-A3CB-1B770BD3366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Lembur Payroll Mei
09.01-21.10</t>
        </r>
      </text>
    </comment>
    <comment ref="H42" authorId="3" shapeId="0" xr:uid="{C1051552-1724-450E-856B-D71843713371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Tambal gigi
08.00-09.30</t>
        </r>
      </text>
    </comment>
    <comment ref="L42" authorId="3" shapeId="0" xr:uid="{7BC29B48-2D5C-45C0-AD14-A51B8555E187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15.45-17.00
Izin pulang lebih awal ayah masuk RS</t>
        </r>
      </text>
    </comment>
    <comment ref="I43" authorId="2" shapeId="0" xr:uid="{56BCB19A-89DB-411A-BAD9-53EF83C7AAED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Finger in 07.58</t>
        </r>
      </text>
    </comment>
    <comment ref="E44" authorId="1" shapeId="0" xr:uid="{0BC76BE6-9A8E-4111-A6F1-D5DC4036A5FF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IT 022C</t>
        </r>
      </text>
    </comment>
    <comment ref="F44" authorId="1" shapeId="0" xr:uid="{94304798-A0B3-4C4F-BC66-B56FC6A2E41E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IT 022C</t>
        </r>
      </text>
    </comment>
    <comment ref="G44" authorId="1" shapeId="0" xr:uid="{7A43BD84-BE7A-4A63-BCBA-035759B63D97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OFF</t>
        </r>
      </text>
    </comment>
    <comment ref="H44" authorId="1" shapeId="0" xr:uid="{8D43B8F8-9D03-4581-A57E-3420981C267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IT 022C</t>
        </r>
      </text>
    </comment>
    <comment ref="I44" authorId="1" shapeId="0" xr:uid="{FF832E90-17B9-438C-80F4-1EEEEFCCB24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IT 022C</t>
        </r>
      </text>
    </comment>
    <comment ref="J44" authorId="1" shapeId="0" xr:uid="{E7DC6A7D-A1DA-4BE0-B6AC-25A011A246A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IT 022C</t>
        </r>
      </text>
    </comment>
    <comment ref="K44" authorId="1" shapeId="0" xr:uid="{1559B361-C014-472A-8457-50A21137D130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IT 022C</t>
        </r>
      </text>
    </comment>
    <comment ref="L44" authorId="1" shapeId="0" xr:uid="{87FE3ED5-5C31-43AC-97AD-6E8AC67C139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IT 022C</t>
        </r>
      </text>
    </comment>
    <comment ref="M44" authorId="1" shapeId="0" xr:uid="{77AD6187-53EF-475A-BF31-F91276887E2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IT 022C</t>
        </r>
      </text>
    </comment>
    <comment ref="N44" authorId="1" shapeId="0" xr:uid="{30854A79-0156-495A-B63D-5DB953F4CB7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IT 022C</t>
        </r>
      </text>
    </comment>
    <comment ref="O44" authorId="1" shapeId="0" xr:uid="{72625636-E1F6-4582-9E81-E6DAF83E04B7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IT 022C</t>
        </r>
      </text>
    </comment>
    <comment ref="P44" authorId="1" shapeId="0" xr:uid="{5B1C28D8-30D1-4DAB-9AF6-C5D404916A84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Tiba di Balikpapan pkl 09.00 WITA</t>
        </r>
      </text>
    </comment>
    <comment ref="S44" authorId="2" shapeId="0" xr:uid="{D1D91797-0C28-4D88-8006-0BD28C5C35B8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OFF sepulang dari site</t>
        </r>
      </text>
    </comment>
    <comment ref="U45" authorId="2" shapeId="0" xr:uid="{20AA8B03-D017-4795-9DA2-9BCFA77DBF3F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Validation &amp; Assessment For 4 OJT BMC in Site APS 021C</t>
        </r>
      </text>
    </comment>
    <comment ref="V45" authorId="2" shapeId="0" xr:uid="{F6C872D6-A2A3-4D8C-967A-024E0EE18B49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Validation &amp; Assessment For 4 OJT BMC in Site APS 021C</t>
        </r>
      </text>
    </comment>
    <comment ref="W45" authorId="2" shapeId="0" xr:uid="{3C871390-E3AA-453C-94D6-787500D775CD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Validation &amp; Assessment For 4 OJT BMC in Site APS 021C</t>
        </r>
      </text>
    </comment>
    <comment ref="X45" authorId="2" shapeId="0" xr:uid="{2FE03EDE-BA7B-46C7-82D4-D7B5D968D96A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Validation &amp; Assessment For 4 OJT BMC in Site APS 021C</t>
        </r>
      </text>
    </comment>
    <comment ref="Y45" authorId="2" shapeId="0" xr:uid="{35B91D7D-410A-4FF7-A0ED-04B77EA26D54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Validation &amp; Assessment For 4 OJT BMC in Site APS 021C</t>
        </r>
      </text>
    </comment>
    <comment ref="Z45" authorId="2" shapeId="0" xr:uid="{8C2BF699-2A1B-4FF9-9AEA-5D967C3863B6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Validation &amp; Assessment For 4 OJT BMC in Site APS 021C</t>
        </r>
      </text>
    </comment>
    <comment ref="AA45" authorId="2" shapeId="0" xr:uid="{A0373E19-1131-4259-A5AC-FDFC75D40F4A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Validation &amp; Assessment For 4 OJT BMC in Site APS 021C</t>
        </r>
      </text>
    </comment>
    <comment ref="AB45" authorId="2" shapeId="0" xr:uid="{C5162A5A-8519-49DF-8539-27B50CFF0979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Validation &amp; Assessment For 4 OJT BMC in Site APS 021C</t>
        </r>
      </text>
    </comment>
    <comment ref="AC45" authorId="2" shapeId="0" xr:uid="{897447E9-A082-4DD4-BD95-6F65A5B7135B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Validation &amp; Assessment For 4 OJT BMC in Site APS 021C</t>
        </r>
      </text>
    </comment>
    <comment ref="L47" authorId="2" shapeId="0" xr:uid="{BDA8E4FA-AEE8-45F7-9A87-E44CAA5A8E28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M47" authorId="2" shapeId="0" xr:uid="{27A3AD8E-177E-4BE0-9A67-156A4AA27C64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N47" authorId="2" shapeId="0" xr:uid="{AED6A5EA-6D61-4113-93F0-EA473853BBCD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O47" authorId="2" shapeId="0" xr:uid="{D2E1727C-3C3D-4E78-9CB1-617D73884800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P47" authorId="2" shapeId="0" xr:uid="{85406682-D1CE-4785-A55F-D9BF1A49FA3C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S47" authorId="2" shapeId="0" xr:uid="{A57A1FC2-F60D-4B5D-8342-6D8B3FC9618B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U47" authorId="2" shapeId="0" xr:uid="{280CD194-F085-4FCE-BFE1-ACC0694A2469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V47" authorId="2" shapeId="0" xr:uid="{35D39D47-EC1B-427A-99F2-C12FA29A1096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W47" authorId="2" shapeId="0" xr:uid="{3048977C-0A00-4CA2-8931-9570BC8ABCA8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Z47" authorId="2" shapeId="0" xr:uid="{94D562C7-8BE2-4B6F-AC58-D06CF26D7458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AA47" authorId="2" shapeId="0" xr:uid="{617D5E44-FDE3-4A8A-A8A6-B442FA3DF06F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AB47" authorId="2" shapeId="0" xr:uid="{CF2E6F57-89DA-4134-868C-9F0883DB4F01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AC47" authorId="2" shapeId="0" xr:uid="{5C96AE3F-2641-4FAB-8521-FE666351A673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AD47" authorId="2" shapeId="0" xr:uid="{319780D1-6905-45EB-B5AD-02842882245B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AG47" authorId="2" shapeId="0" xr:uid="{0A8AA731-2A29-4E99-AF70-0286927228C8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AH47" authorId="2" shapeId="0" xr:uid="{CF88EC35-8CAB-49AE-A2E8-7BF1CE9B2494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Cuti Melahirkan</t>
        </r>
      </text>
    </comment>
    <comment ref="P50" authorId="2" shapeId="0" xr:uid="{0900ADB1-C8AB-49C8-BA45-168ED18EE119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Pengamanan di Transad</t>
        </r>
      </text>
    </comment>
    <comment ref="U50" authorId="3" shapeId="0" xr:uid="{C6DA1E78-AE3F-4F67-89A7-8035EC30891A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15.00-17.00
Tambal gigi</t>
        </r>
      </text>
    </comment>
    <comment ref="M51" authorId="3" shapeId="0" xr:uid="{6085D443-E640-459C-80C2-614162CF0F55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15.30-17.00
urusan pribadi</t>
        </r>
      </text>
    </comment>
    <comment ref="E52" authorId="1" shapeId="0" xr:uid="{DC869D4C-22F6-4E99-84ED-4ABD0B20669F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F52" authorId="1" shapeId="0" xr:uid="{E35275A1-76CB-432E-A844-41C91E4DA76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G52" authorId="1" shapeId="0" xr:uid="{66FDCA9E-0E89-4622-9159-80A085778C5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H52" authorId="1" shapeId="0" xr:uid="{9BD1B640-D129-4D1C-97B8-D4E51C2C0E96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I52" authorId="1" shapeId="0" xr:uid="{3CBCCD10-7065-4C57-BBBC-A799F15967A9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J52" authorId="1" shapeId="0" xr:uid="{95127334-9D05-4D35-B221-48E4E4F2DCBD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K52" authorId="1" shapeId="0" xr:uid="{73A26818-17C0-4AA9-969A-195336E9D68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L52" authorId="1" shapeId="0" xr:uid="{89B492C1-0346-408F-A90F-F819BDA133A7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M52" authorId="1" shapeId="0" xr:uid="{FF81A930-E365-4995-A7B5-C274C4F8898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OFF</t>
        </r>
      </text>
    </comment>
    <comment ref="N52" authorId="1" shapeId="0" xr:uid="{8287F134-40BA-408F-95DB-C91FE271C172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O52" authorId="1" shapeId="0" xr:uid="{28744D9A-449F-4081-B63D-42FBEA353F5A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P52" authorId="1" shapeId="0" xr:uid="{7CD5189B-8A0B-435C-9EA7-C2FF6369260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Q52" authorId="1" shapeId="0" xr:uid="{F7A1A5A8-B996-4B73-8BCF-D6599F65883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R52" authorId="1" shapeId="0" xr:uid="{4A7FE79D-683F-484B-9607-20C9334C703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S52" authorId="1" shapeId="0" xr:uid="{FD2E6C03-7EB3-4F02-8456-23CB17E0AF42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T52" authorId="1" shapeId="0" xr:uid="{9C6FA2AD-6918-4F12-9103-8E31E4FA8D9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U52" authorId="1" shapeId="0" xr:uid="{4F22B530-5717-4B2A-AD26-0A1F53D03674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V52" authorId="1" shapeId="0" xr:uid="{9E9AE1A4-DF2D-489F-8FC9-E8592616556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W52" authorId="1" shapeId="0" xr:uid="{9ADB0BD6-1DA4-48FC-ADAD-E7815FB82C30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X52" authorId="1" shapeId="0" xr:uid="{77D825C9-00A9-414F-846F-291262A50A7F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Y52" authorId="1" shapeId="0" xr:uid="{91A9127B-6F3F-440F-9190-2FB52CE41B1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OFF</t>
        </r>
      </text>
    </comment>
    <comment ref="Z52" authorId="1" shapeId="0" xr:uid="{78E973FC-03D2-41CA-A46B-502830A4108F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AA52" authorId="1" shapeId="0" xr:uid="{69FD629C-BEAA-4831-97F7-17EE392B9A2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AB52" authorId="1" shapeId="0" xr:uid="{7CA94A50-A08C-46C7-9DD1-A6B7EA619762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AC52" authorId="1" shapeId="0" xr:uid="{E5E86C76-37A4-4343-981D-D3BFBC58178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AD52" authorId="1" shapeId="0" xr:uid="{F4001A24-FEDE-4AFB-8FB1-C3996D96072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AE52" authorId="1" shapeId="0" xr:uid="{FB93BBD3-9EFB-4BD2-A809-67FAC12D1F40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AF52" authorId="1" shapeId="0" xr:uid="{F7D33D5A-9998-4EC8-9AA2-3B5ABDA3F1A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AG52" authorId="1" shapeId="0" xr:uid="{A7B28A26-0199-4B87-8A24-FF3A584EE09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AH52" authorId="1" shapeId="0" xr:uid="{3356D400-E809-409B-AE6A-C33A49263227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022C</t>
        </r>
      </text>
    </comment>
    <comment ref="K53" authorId="2" shapeId="0" xr:uid="{A654D7FD-EEBC-4002-9A79-72B3907D698E}">
      <text>
        <r>
          <rPr>
            <b/>
            <sz val="9"/>
            <color indexed="81"/>
            <rFont val="Tahoma"/>
            <charset val="1"/>
          </rPr>
          <t>Khaerunnisa Amrun:</t>
        </r>
        <r>
          <rPr>
            <sz val="9"/>
            <color indexed="81"/>
            <rFont val="Tahoma"/>
            <charset val="1"/>
          </rPr>
          <t xml:space="preserve">
OFF</t>
        </r>
      </text>
    </comment>
    <comment ref="Q53" authorId="2" shapeId="0" xr:uid="{CA6CC1D6-43EE-4DD0-BEF7-D13D3410272E}">
      <text>
        <r>
          <rPr>
            <b/>
            <sz val="9"/>
            <color indexed="81"/>
            <rFont val="Tahoma"/>
            <charset val="1"/>
          </rPr>
          <t>Khaerunnisa Amrun:</t>
        </r>
        <r>
          <rPr>
            <sz val="9"/>
            <color indexed="81"/>
            <rFont val="Tahoma"/>
            <charset val="1"/>
          </rPr>
          <t xml:space="preserve">
OFF</t>
        </r>
      </text>
    </comment>
    <comment ref="X53" authorId="2" shapeId="0" xr:uid="{65E6EEBA-9EFF-46B6-A718-503DF6AF455F}">
      <text>
        <r>
          <rPr>
            <b/>
            <sz val="9"/>
            <color indexed="81"/>
            <rFont val="Tahoma"/>
            <charset val="1"/>
          </rPr>
          <t>Khaerunnisa Amrun:</t>
        </r>
        <r>
          <rPr>
            <sz val="9"/>
            <color indexed="81"/>
            <rFont val="Tahoma"/>
            <charset val="1"/>
          </rPr>
          <t xml:space="preserve">
OFF</t>
        </r>
      </text>
    </comment>
    <comment ref="Y53" authorId="2" shapeId="0" xr:uid="{ADBC74A7-C9F8-4C2F-A843-53AF60306EB5}">
      <text>
        <r>
          <rPr>
            <b/>
            <sz val="9"/>
            <color indexed="81"/>
            <rFont val="Tahoma"/>
            <charset val="1"/>
          </rPr>
          <t>Khaerunnisa Amrun:</t>
        </r>
        <r>
          <rPr>
            <sz val="9"/>
            <color indexed="81"/>
            <rFont val="Tahoma"/>
            <charset val="1"/>
          </rPr>
          <t xml:space="preserve">
OFF</t>
        </r>
      </text>
    </comment>
    <comment ref="AD57" authorId="1" shapeId="0" xr:uid="{DB898D31-A4A0-4B0E-A3F4-19BE2609751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017C</t>
        </r>
      </text>
    </comment>
    <comment ref="AE57" authorId="1" shapeId="0" xr:uid="{6E92FB6C-1BB0-4D7F-916C-BC8AA1E58DBD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017C</t>
        </r>
      </text>
    </comment>
    <comment ref="AF57" authorId="1" shapeId="0" xr:uid="{A16AFE75-0262-42C6-A523-F6E8D082FD5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017C</t>
        </r>
      </text>
    </comment>
    <comment ref="AG57" authorId="1" shapeId="0" xr:uid="{6C34E7E8-E13D-4CEC-A082-6A45B920195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017C</t>
        </r>
      </text>
    </comment>
    <comment ref="AH57" authorId="1" shapeId="0" xr:uid="{9E5E435B-4933-43C7-A4CE-70981F4B49C4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Progress Civil Construction 017C</t>
        </r>
      </text>
    </comment>
    <comment ref="P58" authorId="2" shapeId="0" xr:uid="{30161184-17FD-47A2-AD2D-C711F5A2D204}">
      <text>
        <r>
          <rPr>
            <b/>
            <sz val="9"/>
            <color indexed="81"/>
            <rFont val="Tahoma"/>
            <family val="2"/>
          </rPr>
          <t>Khaerunnisa Amrun:</t>
        </r>
        <r>
          <rPr>
            <sz val="9"/>
            <color indexed="81"/>
            <rFont val="Tahoma"/>
            <family val="2"/>
          </rPr>
          <t xml:space="preserve">
Pengamanan di Transad</t>
        </r>
      </text>
    </comment>
    <comment ref="E61" authorId="1" shapeId="0" xr:uid="{8BFDE448-3CA3-4AF9-BF2E-17633C13F482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Lembur Payroll Mei
08.52-21.18</t>
        </r>
      </text>
    </comment>
    <comment ref="Y62" authorId="1" shapeId="0" xr:uid="{44321E02-179C-4ECB-A1F4-3E26A9A518E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Mess Regency
07.15-17.30
</t>
        </r>
      </text>
    </comment>
    <comment ref="AF62" authorId="1" shapeId="0" xr:uid="{BCCC1083-B356-450F-B10E-6F64CA73EE5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Mess Regency
07.00-15.00
</t>
        </r>
      </text>
    </comment>
    <comment ref="L63" authorId="3" shapeId="0" xr:uid="{71552FAA-3BFB-43FC-BA5D-41332A1635F2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10.00-12.00
Izin ke kantor kecamatan memperbaiki KTP</t>
        </r>
      </text>
    </comment>
    <comment ref="J65" authorId="1" shapeId="0" xr:uid="{9084A893-F6E5-4D59-9A5B-58F0B48BFAF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Mess Regency
08.00-17.05
</t>
        </r>
      </text>
    </comment>
    <comment ref="Q65" authorId="1" shapeId="0" xr:uid="{C8E9A65D-9941-4826-B492-B73B3A3068C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Mess Regency
07.00-16.00
</t>
        </r>
      </text>
    </comment>
    <comment ref="T67" authorId="1" shapeId="0" xr:uid="{C2D05D6F-4532-4925-A046-766907AE84CF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GA 017C</t>
        </r>
      </text>
    </comment>
    <comment ref="U67" authorId="1" shapeId="0" xr:uid="{AD37437E-BDBF-4690-B05D-2A48ADC75197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GA 017C</t>
        </r>
      </text>
    </comment>
    <comment ref="V67" authorId="1" shapeId="0" xr:uid="{84326A7D-B257-4500-A7CC-AEF768655B7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GA 017C</t>
        </r>
      </text>
    </comment>
    <comment ref="W67" authorId="1" shapeId="0" xr:uid="{81D00602-6924-4AEF-AC02-8CE5D682198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GA 017C</t>
        </r>
      </text>
    </comment>
    <comment ref="X67" authorId="1" shapeId="0" xr:uid="{A413CB18-DF52-4E66-AF8C-F7B2EEE0E21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GA 017C</t>
        </r>
      </text>
    </comment>
    <comment ref="Y67" authorId="1" shapeId="0" xr:uid="{EEC5D489-9820-4CBB-996D-B2675B17EE69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GA 017C</t>
        </r>
      </text>
    </comment>
    <comment ref="Z67" authorId="1" shapeId="0" xr:uid="{3FADB7E8-8C98-4D0A-983C-0462EC83D44D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GA 017C</t>
        </r>
      </text>
    </comment>
    <comment ref="AA67" authorId="1" shapeId="0" xr:uid="{D42E4C40-897D-4DF0-B036-7869D5C8F4B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GA 017C</t>
        </r>
      </text>
    </comment>
    <comment ref="AB67" authorId="1" shapeId="0" xr:uid="{636E5666-CF7A-4D03-B1A3-9D2BBE37001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GA 017C</t>
        </r>
      </text>
    </comment>
    <comment ref="AC67" authorId="1" shapeId="0" xr:uid="{620F0800-9BAC-4DA3-94F6-091517AD473C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GA 017C</t>
        </r>
      </text>
    </comment>
    <comment ref="AD67" authorId="1" shapeId="0" xr:uid="{EA419D0D-32BE-4935-99C2-4F66FEE2FC1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GA 017C</t>
        </r>
      </text>
    </comment>
    <comment ref="AE67" authorId="1" shapeId="0" xr:uid="{B9CFCC0C-9B47-4005-BDAA-F6F61E746161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GA 017C</t>
        </r>
      </text>
    </comment>
    <comment ref="AF67" authorId="1" shapeId="0" xr:uid="{3DCE6495-9159-41B0-9639-41C8D8A1EC2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GA 017C</t>
        </r>
      </text>
    </comment>
    <comment ref="AG67" authorId="2" shapeId="0" xr:uid="{66C2FAC6-7375-4B9D-8363-19DC60F17A50}">
      <text>
        <r>
          <rPr>
            <b/>
            <sz val="9"/>
            <color indexed="81"/>
            <rFont val="Tahoma"/>
            <charset val="1"/>
          </rPr>
          <t>Khaerunnisa Amrun:</t>
        </r>
        <r>
          <rPr>
            <sz val="9"/>
            <color indexed="81"/>
            <rFont val="Tahoma"/>
            <charset val="1"/>
          </rPr>
          <t xml:space="preserve">
OFF</t>
        </r>
      </text>
    </comment>
    <comment ref="AH67" authorId="1" shapeId="0" xr:uid="{FF610088-0F6B-456E-997D-40446BB71474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GA 017C</t>
        </r>
      </text>
    </comment>
    <comment ref="E70" authorId="1" shapeId="0" xr:uid="{2B5D24EE-2756-40EC-A578-2AFB2AC09AE5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Mess Regency
07.00-17.00
</t>
        </r>
      </text>
    </comment>
    <comment ref="K70" authorId="1" shapeId="0" xr:uid="{0EFA34C4-4ED9-4ED6-8177-2DD5D104FBB9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Mess Regency
07.00-17.00
</t>
        </r>
      </text>
    </comment>
    <comment ref="R70" authorId="1" shapeId="0" xr:uid="{1986A7A3-B577-4C0E-9934-97827E2596E8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Mess Regency
07.00-17.00
</t>
        </r>
      </text>
    </comment>
    <comment ref="T70" authorId="1" shapeId="0" xr:uid="{F924668F-BD3A-42DE-B181-1FD97D7C149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Mess Regency
07.00-17.00
</t>
        </r>
      </text>
    </comment>
    <comment ref="U70" authorId="1" shapeId="0" xr:uid="{CE248555-8334-4C01-9023-4EC9E590D67B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Support pemasangan plafond lt 2</t>
        </r>
      </text>
    </comment>
    <comment ref="X70" authorId="1" shapeId="0" xr:uid="{AAAD4639-967F-4B9B-A1F7-BEDCD1D814BF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Mess Regency
07.00-17.00
</t>
        </r>
      </text>
    </comment>
    <comment ref="AE70" authorId="1" shapeId="0" xr:uid="{263CF60D-137F-46B9-8AC3-79E172470AF3}">
      <text>
        <r>
          <rPr>
            <b/>
            <sz val="9"/>
            <color indexed="81"/>
            <rFont val="Tahoma"/>
            <family val="2"/>
          </rPr>
          <t>Khaerunnisa:</t>
        </r>
        <r>
          <rPr>
            <sz val="9"/>
            <color indexed="81"/>
            <rFont val="Tahoma"/>
            <family val="2"/>
          </rPr>
          <t xml:space="preserve">
Mess Regency
06.30-17.00
</t>
        </r>
      </text>
    </comment>
  </commentList>
</comments>
</file>

<file path=xl/sharedStrings.xml><?xml version="1.0" encoding="utf-8"?>
<sst xmlns="http://schemas.openxmlformats.org/spreadsheetml/2006/main" count="1487" uniqueCount="150">
  <si>
    <t>No</t>
  </si>
  <si>
    <t>Nama</t>
  </si>
  <si>
    <t>NIK</t>
  </si>
  <si>
    <t>Position</t>
  </si>
  <si>
    <t>HOS2</t>
  </si>
  <si>
    <t>HOA2</t>
  </si>
  <si>
    <t>TOTAL</t>
  </si>
  <si>
    <t>Herry</t>
  </si>
  <si>
    <t>M. Reza</t>
  </si>
  <si>
    <t xml:space="preserve">Bernadeta Lita </t>
  </si>
  <si>
    <t>Ryian Irphin</t>
  </si>
  <si>
    <t>Accounting Officer</t>
  </si>
  <si>
    <t>Agus Triyanto</t>
  </si>
  <si>
    <t>Eko Huri Cahyono</t>
  </si>
  <si>
    <t>Rachman Yulikiswanto</t>
  </si>
  <si>
    <t>Bagus Widagdo</t>
  </si>
  <si>
    <t>Gufransyah</t>
  </si>
  <si>
    <t>Office Boy</t>
  </si>
  <si>
    <t>Nanik Agustiningsih</t>
  </si>
  <si>
    <t>Achmad Faonizan</t>
  </si>
  <si>
    <t>Maya Sari</t>
  </si>
  <si>
    <t>Tri Ari Hendik Saputra</t>
  </si>
  <si>
    <t>IT Officer</t>
  </si>
  <si>
    <t>Irpandi Muslimin</t>
  </si>
  <si>
    <t>Mansyur Pantje</t>
  </si>
  <si>
    <t>Dikqi Wibowo</t>
  </si>
  <si>
    <t>Slamet Hariyanto</t>
  </si>
  <si>
    <t>Suyanto</t>
  </si>
  <si>
    <t>Frizky Ramadhan</t>
  </si>
  <si>
    <t>I Gusti Ngurah Permana Adhi Putra</t>
  </si>
  <si>
    <t>Arny Ratnasari</t>
  </si>
  <si>
    <t>Dedi Rusliadi Leman</t>
  </si>
  <si>
    <t>Saipudin</t>
  </si>
  <si>
    <t>Prana Dian Adriyani</t>
  </si>
  <si>
    <t>Rizky Rosdiana</t>
  </si>
  <si>
    <t>Romdi</t>
  </si>
  <si>
    <t>Awan Sutiyo</t>
  </si>
  <si>
    <t>Rizky Kurnia Adi Nugraha</t>
  </si>
  <si>
    <t>Safety Assisstant</t>
  </si>
  <si>
    <t>Rifka Annisa</t>
  </si>
  <si>
    <t>Wisnu Bagus Santoso</t>
  </si>
  <si>
    <t>Zul Imam Fajar Bahri</t>
  </si>
  <si>
    <t>Khaerunnisa Amrun</t>
  </si>
  <si>
    <t>Adelia Ramadhani</t>
  </si>
  <si>
    <t>Prepared,</t>
  </si>
  <si>
    <t>Checked,</t>
  </si>
  <si>
    <t>Approved,</t>
  </si>
  <si>
    <t xml:space="preserve"> </t>
  </si>
  <si>
    <t>ARKA/HCS/IV/02.01</t>
  </si>
  <si>
    <t>Rev.1</t>
  </si>
  <si>
    <t>Keterangan</t>
  </si>
  <si>
    <t>Terlambat</t>
  </si>
  <si>
    <t>Tidak Finger Print Masuk</t>
  </si>
  <si>
    <t>Tidak Finger Print Keluar</t>
  </si>
  <si>
    <t>ID Ketinggalan</t>
  </si>
  <si>
    <t>Visit ke APS</t>
  </si>
  <si>
    <t>Belum ada Berkas Pendukung (LOT/Form Cuti/Surat Sakit)</t>
  </si>
  <si>
    <t>Belum ada kabar</t>
  </si>
  <si>
    <t>Muhammad Fadhlan Ramadhan</t>
  </si>
  <si>
    <t>Rofiqoh</t>
  </si>
  <si>
    <t>Alif Dwi Prayogo</t>
  </si>
  <si>
    <t>Internal Audit &amp; System Manager</t>
  </si>
  <si>
    <t>Operation General Manager</t>
  </si>
  <si>
    <t>Technical Trainer Major Supervisor</t>
  </si>
  <si>
    <t>Civil Engineer Officer</t>
  </si>
  <si>
    <t>GA Major Officer</t>
  </si>
  <si>
    <t>GA Support</t>
  </si>
  <si>
    <t>Accounting &amp; IT Manager</t>
  </si>
  <si>
    <t>Dwi Septiani Darmayanti</t>
  </si>
  <si>
    <t>Syifa Anand</t>
  </si>
  <si>
    <t>Desi Astika Indah</t>
  </si>
  <si>
    <t>Karel Simarmata</t>
  </si>
  <si>
    <t>Technical Trainer Major Foreman</t>
  </si>
  <si>
    <t>Elma Rahmadaniati Suyadi</t>
  </si>
  <si>
    <t>Muhammad Taufik Nur</t>
  </si>
  <si>
    <t>Asset &amp; Cost Control Data Analyst</t>
  </si>
  <si>
    <t>Anna Matofani</t>
  </si>
  <si>
    <t>Plant Planner Foreman</t>
  </si>
  <si>
    <t>Putri Lestari</t>
  </si>
  <si>
    <t>Plant Officer</t>
  </si>
  <si>
    <t>HR Officer-2</t>
  </si>
  <si>
    <t xml:space="preserve">Yudith Bandaso </t>
  </si>
  <si>
    <t>Sudarti</t>
  </si>
  <si>
    <t>Office Girl</t>
  </si>
  <si>
    <t>Junaedi Ramlyadi</t>
  </si>
  <si>
    <t>Security Senior Officer</t>
  </si>
  <si>
    <t>Fauzan Gusta Rozaqi</t>
  </si>
  <si>
    <t>Civil Engineer</t>
  </si>
  <si>
    <t>Auditor General Officer</t>
  </si>
  <si>
    <t>D&amp;C Officer</t>
  </si>
  <si>
    <t>Civil Engineer Superintendent</t>
  </si>
  <si>
    <t>Security</t>
  </si>
  <si>
    <t>Karina Putri Iriani</t>
  </si>
  <si>
    <t>Receptionist</t>
  </si>
  <si>
    <t>Nabila Ayu Puspita</t>
  </si>
  <si>
    <t>IT Support</t>
  </si>
  <si>
    <t>HR Superintendent</t>
  </si>
  <si>
    <t>LEMBUR STAFF</t>
  </si>
  <si>
    <t>Plant Deputy Manager</t>
  </si>
  <si>
    <t>Suwoto</t>
  </si>
  <si>
    <t>Rizki Dwi Fadlirhohim</t>
  </si>
  <si>
    <t>Data Analyst</t>
  </si>
  <si>
    <t>Harmono</t>
  </si>
  <si>
    <t>Mukti Indriadi Wibowo</t>
  </si>
  <si>
    <t>Ary Bhinuko</t>
  </si>
  <si>
    <t>Act. Mechanic Supervisor</t>
  </si>
  <si>
    <t>Eko Roman Dani Prasetio</t>
  </si>
  <si>
    <t>UM. Eddy Nasri Jayapati</t>
  </si>
  <si>
    <t>HCS Div. Manager</t>
  </si>
  <si>
    <t>Rahmat Nasir Sulaiman</t>
  </si>
  <si>
    <t>Ari Wirawan</t>
  </si>
  <si>
    <t>Donna Ina Amelia</t>
  </si>
  <si>
    <t>GA Supervisor</t>
  </si>
  <si>
    <t>Talent Acquisition Officer</t>
  </si>
  <si>
    <t>Anny Marliany</t>
  </si>
  <si>
    <t>Muhamad Ridwan</t>
  </si>
  <si>
    <t>Nadhira Salsabila</t>
  </si>
  <si>
    <t>Commercial &amp; Treasury Director</t>
  </si>
  <si>
    <t>Human Capital &amp; Leisure Director</t>
  </si>
  <si>
    <t>Operational Director</t>
  </si>
  <si>
    <t>General Manager Plant</t>
  </si>
  <si>
    <t>Hotel &amp; Resort Manager</t>
  </si>
  <si>
    <t>Muhammad Khansa Farhan</t>
  </si>
  <si>
    <t>Technical Trainer Officer</t>
  </si>
  <si>
    <t>SC1</t>
  </si>
  <si>
    <t>IT General Officer</t>
  </si>
  <si>
    <t>IT Senior Superintendent</t>
  </si>
  <si>
    <t>Corsec Supervisor</t>
  </si>
  <si>
    <t>HR Officer</t>
  </si>
  <si>
    <t>Accounting General Supervisor</t>
  </si>
  <si>
    <t>Payroll &amp; Benefit General Supervisor</t>
  </si>
  <si>
    <t>Accounting Major Officer</t>
  </si>
  <si>
    <t>Marketing &amp; Secretary Senior Supervisor</t>
  </si>
  <si>
    <t>Auditor General Supervisor</t>
  </si>
  <si>
    <t>Trainer Fasilitator Major Officer</t>
  </si>
  <si>
    <t>Recruitment Major Officer</t>
  </si>
  <si>
    <t>Corsec Major Officer</t>
  </si>
  <si>
    <t>GA General Officer</t>
  </si>
  <si>
    <t>Cashier Senior Officer</t>
  </si>
  <si>
    <t>Civil Engineer Major Officer</t>
  </si>
  <si>
    <t>Payroll &amp; Development Officer</t>
  </si>
  <si>
    <t>GA Major Officer-1</t>
  </si>
  <si>
    <t>Fredyk Patabang</t>
  </si>
  <si>
    <t>Della Restika Putri</t>
  </si>
  <si>
    <t>Payroll &amp; Benefit Officer</t>
  </si>
  <si>
    <t>Parwoto</t>
  </si>
  <si>
    <t>Welder Trainer Foreman</t>
  </si>
  <si>
    <t>HO2</t>
  </si>
  <si>
    <t>HS</t>
  </si>
  <si>
    <t>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</si>
</sst>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dd/mm/yy;@"/>
    <numFmt numFmtId="168" formatCode="_(* #,##0.0_);_(* \(#,##0.0\);_(* &quot;-&quot;??_);_(@_)"/>
    <numFmt numFmtId="169" formatCode="[$-F400]h:mm:ss\ AM/PM"/>
    <numFmt numFmtId="170" formatCode="_([$Rp-421]* #,##0_);_([$Rp-421]* \(#,##0\);_([$Rp-421]* &quot;-&quot;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3"/>
      <name val="Arial Narrow"/>
      <family val="2"/>
    </font>
    <font>
      <sz val="10"/>
      <name val="Arial"/>
      <family val="2"/>
    </font>
    <font>
      <b/>
      <sz val="13"/>
      <name val="Arial Narrow"/>
      <family val="2"/>
    </font>
    <font>
      <sz val="11"/>
      <color theme="1"/>
      <name val="Calibri"/>
      <family val="2"/>
      <scheme val="minor"/>
    </font>
    <font>
      <b/>
      <u/>
      <sz val="13"/>
      <name val="Arial Narrow"/>
      <family val="2"/>
    </font>
    <font>
      <i/>
      <sz val="13"/>
      <name val="Arial Narrow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rgb="FF000000"/>
      <name val="ºÚÌå"/>
      <family val="2"/>
    </font>
    <font>
      <sz val="9"/>
      <color rgb="FF000000"/>
      <name val="ºÚÌå"/>
      <family val="2"/>
    </font>
    <font>
      <b/>
      <sz val="8"/>
      <color rgb="FF000000"/>
      <name val="ºÚÌå"/>
      <family val="2"/>
    </font>
    <font>
      <sz val="11"/>
      <color indexed="8"/>
      <name val="Calibri"/>
      <family val="2"/>
      <scheme val="minor"/>
    </font>
    <font>
      <sz val="9"/>
      <color rgb="FF000000"/>
      <name val="ËÎÌå"/>
      <family val="2"/>
    </font>
    <font>
      <sz val="11"/>
      <color indexed="8"/>
      <name val="Calibri"/>
      <family val="2"/>
      <charset val="1"/>
    </font>
    <font>
      <sz val="10"/>
      <color indexed="72"/>
      <name val="Arial"/>
      <family val="2"/>
    </font>
    <font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theme="0"/>
      <name val="Calibri"/>
      <family val="2"/>
      <scheme val="minor"/>
    </font>
    <font>
      <sz val="9"/>
      <color rgb="FF000000"/>
      <name val="ºÚÌå"/>
    </font>
    <font>
      <b/>
      <sz val="18"/>
      <color theme="3"/>
      <name val="Calibri Light"/>
      <family val="2"/>
      <scheme val="major"/>
    </font>
    <font>
      <b/>
      <sz val="24"/>
      <name val="Arial Narrow"/>
      <family val="2"/>
    </font>
    <font>
      <sz val="13"/>
      <color rgb="FFFF0000"/>
      <name val="Arial Narrow"/>
      <family val="2"/>
    </font>
    <font>
      <b/>
      <sz val="13"/>
      <color rgb="FFFF0000"/>
      <name val="Arial Narrow"/>
      <family val="2"/>
    </font>
    <font>
      <b/>
      <u/>
      <sz val="13"/>
      <color rgb="FFFF0000"/>
      <name val="Arial Narrow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indexed="2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45">
    <xf numFmtId="0" fontId="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/>
    <xf numFmtId="43" fontId="12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0" fontId="10" fillId="0" borderId="0"/>
    <xf numFmtId="0" fontId="10" fillId="0" borderId="0"/>
    <xf numFmtId="0" fontId="17" fillId="2" borderId="0">
      <alignment horizontal="center" vertical="center"/>
    </xf>
    <xf numFmtId="0" fontId="10" fillId="0" borderId="0"/>
    <xf numFmtId="0" fontId="12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2" fillId="0" borderId="0"/>
    <xf numFmtId="0" fontId="10" fillId="0" borderId="0"/>
    <xf numFmtId="0" fontId="12" fillId="0" borderId="0"/>
    <xf numFmtId="0" fontId="10" fillId="0" borderId="0"/>
    <xf numFmtId="0" fontId="18" fillId="2" borderId="0">
      <alignment horizontal="left"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" fillId="0" borderId="0"/>
    <xf numFmtId="0" fontId="10" fillId="0" borderId="0"/>
    <xf numFmtId="0" fontId="10" fillId="0" borderId="0"/>
    <xf numFmtId="0" fontId="17" fillId="2" borderId="0">
      <alignment horizontal="left" vertical="center"/>
    </xf>
    <xf numFmtId="0" fontId="19" fillId="2" borderId="0">
      <alignment horizontal="center" vertical="center"/>
    </xf>
    <xf numFmtId="0" fontId="18" fillId="2" borderId="0">
      <alignment horizontal="center" vertical="center"/>
    </xf>
    <xf numFmtId="41" fontId="10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0" fillId="0" borderId="0"/>
    <xf numFmtId="0" fontId="15" fillId="0" borderId="0">
      <alignment vertical="top"/>
    </xf>
    <xf numFmtId="41" fontId="10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2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5" fillId="0" borderId="0"/>
    <xf numFmtId="0" fontId="15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2" fillId="0" borderId="0"/>
    <xf numFmtId="0" fontId="12" fillId="0" borderId="0"/>
    <xf numFmtId="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2" fillId="0" borderId="0"/>
    <xf numFmtId="43" fontId="15" fillId="0" borderId="0" applyFont="0" applyFill="0" applyBorder="0" applyAlignment="0" applyProtection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1" fillId="2" borderId="0">
      <alignment horizontal="center" vertical="top"/>
    </xf>
    <xf numFmtId="0" fontId="18" fillId="2" borderId="0">
      <alignment horizontal="center" vertical="center"/>
    </xf>
    <xf numFmtId="0" fontId="24" fillId="5" borderId="0" applyProtection="0"/>
    <xf numFmtId="0" fontId="26" fillId="4" borderId="0" applyNumberFormat="0" applyBorder="0" applyAlignment="0" applyProtection="0"/>
    <xf numFmtId="41" fontId="10" fillId="0" borderId="0" applyProtection="0"/>
    <xf numFmtId="41" fontId="10" fillId="0" borderId="0" applyFont="0" applyFill="0" applyBorder="0" applyAlignment="0" applyProtection="0"/>
    <xf numFmtId="41" fontId="10" fillId="0" borderId="0" applyProtection="0"/>
    <xf numFmtId="41" fontId="2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2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 applyProtection="0"/>
    <xf numFmtId="0" fontId="23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0" fillId="0" borderId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10" fillId="0" borderId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10" fillId="0" borderId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Protection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/>
    <xf numFmtId="0" fontId="10" fillId="0" borderId="0" applyProtection="0"/>
    <xf numFmtId="0" fontId="10" fillId="0" borderId="0" applyProtection="0"/>
    <xf numFmtId="0" fontId="10" fillId="0" borderId="0"/>
    <xf numFmtId="0" fontId="10" fillId="0" borderId="0"/>
    <xf numFmtId="0" fontId="10" fillId="0" borderId="0" applyProtection="0"/>
    <xf numFmtId="0" fontId="10" fillId="6" borderId="3" applyProtection="0"/>
    <xf numFmtId="0" fontId="10" fillId="3" borderId="2" applyNumberFormat="0" applyFont="0" applyAlignment="0" applyProtection="0"/>
    <xf numFmtId="0" fontId="10" fillId="6" borderId="3" applyProtection="0"/>
    <xf numFmtId="0" fontId="10" fillId="3" borderId="2" applyNumberFormat="0" applyFon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7" fillId="2" borderId="0">
      <alignment horizontal="center" vertical="center"/>
    </xf>
    <xf numFmtId="0" fontId="28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5" fillId="0" borderId="0" applyFont="0" applyFill="0" applyBorder="0" applyAlignment="0" applyProtection="0">
      <alignment vertical="top"/>
    </xf>
    <xf numFmtId="0" fontId="5" fillId="0" borderId="0"/>
    <xf numFmtId="164" fontId="5" fillId="0" borderId="0" applyFont="0" applyFill="0" applyBorder="0" applyAlignment="0" applyProtection="0"/>
    <xf numFmtId="0" fontId="15" fillId="0" borderId="0"/>
    <xf numFmtId="0" fontId="12" fillId="0" borderId="0"/>
    <xf numFmtId="0" fontId="10" fillId="0" borderId="0"/>
    <xf numFmtId="165" fontId="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 applyProtection="0"/>
    <xf numFmtId="165" fontId="12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9" fontId="2" fillId="0" borderId="0"/>
    <xf numFmtId="0" fontId="2" fillId="0" borderId="0"/>
    <xf numFmtId="0" fontId="15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0" fillId="0" borderId="0"/>
  </cellStyleXfs>
  <cellXfs count="74">
    <xf numFmtId="0" fontId="0" fillId="0" borderId="0" xfId="0"/>
    <xf numFmtId="166" fontId="9" fillId="0" borderId="0" xfId="1" applyNumberFormat="1" applyFont="1" applyFill="1" applyBorder="1" applyAlignment="1">
      <alignment horizontal="center"/>
    </xf>
    <xf numFmtId="166" fontId="9" fillId="0" borderId="0" xfId="1" applyNumberFormat="1" applyFont="1" applyFill="1" applyAlignment="1">
      <alignment horizontal="center"/>
    </xf>
    <xf numFmtId="166" fontId="9" fillId="0" borderId="0" xfId="1" applyNumberFormat="1" applyFont="1" applyFill="1" applyBorder="1" applyAlignment="1">
      <alignment horizontal="center" vertical="center"/>
    </xf>
    <xf numFmtId="0" fontId="9" fillId="0" borderId="1" xfId="3" applyFont="1" applyBorder="1" applyAlignment="1">
      <alignment horizontal="left" vertical="center"/>
    </xf>
    <xf numFmtId="167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1" xfId="3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9" fillId="0" borderId="1" xfId="2" quotePrefix="1" applyFont="1" applyBorder="1" applyAlignment="1">
      <alignment horizontal="left" vertical="center"/>
    </xf>
    <xf numFmtId="0" fontId="11" fillId="0" borderId="0" xfId="7" applyFont="1" applyAlignment="1">
      <alignment horizontal="center" vertical="center"/>
    </xf>
    <xf numFmtId="0" fontId="11" fillId="0" borderId="0" xfId="7" applyFont="1" applyAlignment="1">
      <alignment vertical="center"/>
    </xf>
    <xf numFmtId="0" fontId="9" fillId="0" borderId="0" xfId="7" applyFont="1" applyAlignment="1">
      <alignment horizontal="center" vertical="center"/>
    </xf>
    <xf numFmtId="0" fontId="9" fillId="0" borderId="0" xfId="7" applyFont="1"/>
    <xf numFmtId="0" fontId="13" fillId="0" borderId="0" xfId="7" applyFont="1" applyAlignment="1">
      <alignment horizontal="center"/>
    </xf>
    <xf numFmtId="0" fontId="11" fillId="0" borderId="0" xfId="7" applyFont="1" applyAlignment="1">
      <alignment horizontal="center"/>
    </xf>
    <xf numFmtId="0" fontId="9" fillId="0" borderId="0" xfId="7" applyFont="1" applyAlignment="1">
      <alignment horizontal="center"/>
    </xf>
    <xf numFmtId="0" fontId="11" fillId="0" borderId="0" xfId="7" applyFont="1" applyAlignment="1">
      <alignment horizontal="right"/>
    </xf>
    <xf numFmtId="43" fontId="9" fillId="0" borderId="0" xfId="8" applyFont="1" applyFill="1" applyBorder="1" applyAlignment="1"/>
    <xf numFmtId="0" fontId="11" fillId="0" borderId="0" xfId="7" applyFont="1"/>
    <xf numFmtId="0" fontId="13" fillId="0" borderId="0" xfId="7" applyFont="1"/>
    <xf numFmtId="0" fontId="13" fillId="0" borderId="0" xfId="7" applyFont="1" applyAlignment="1">
      <alignment vertical="center"/>
    </xf>
    <xf numFmtId="0" fontId="14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168" fontId="9" fillId="0" borderId="0" xfId="1" applyNumberFormat="1" applyFont="1" applyFill="1" applyAlignment="1">
      <alignment horizontal="center"/>
    </xf>
    <xf numFmtId="0" fontId="30" fillId="0" borderId="0" xfId="0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167" fontId="30" fillId="0" borderId="1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31" fillId="0" borderId="0" xfId="7" applyFont="1" applyAlignment="1">
      <alignment horizontal="center" vertical="center"/>
    </xf>
    <xf numFmtId="0" fontId="30" fillId="0" borderId="0" xfId="0" applyFont="1"/>
    <xf numFmtId="166" fontId="30" fillId="0" borderId="0" xfId="1" applyNumberFormat="1" applyFont="1" applyFill="1" applyAlignment="1">
      <alignment horizontal="center"/>
    </xf>
    <xf numFmtId="0" fontId="30" fillId="0" borderId="0" xfId="7" applyFont="1"/>
    <xf numFmtId="0" fontId="31" fillId="0" borderId="0" xfId="7" applyFont="1" applyAlignment="1">
      <alignment horizontal="right" vertical="center"/>
    </xf>
    <xf numFmtId="0" fontId="31" fillId="0" borderId="0" xfId="7" applyFont="1" applyAlignment="1">
      <alignment horizontal="center"/>
    </xf>
    <xf numFmtId="0" fontId="31" fillId="0" borderId="0" xfId="7" applyFont="1" applyAlignment="1">
      <alignment horizontal="right"/>
    </xf>
    <xf numFmtId="0" fontId="31" fillId="0" borderId="0" xfId="7" applyFont="1" applyAlignment="1">
      <alignment vertical="center"/>
    </xf>
    <xf numFmtId="0" fontId="32" fillId="0" borderId="0" xfId="7" applyFont="1" applyAlignment="1">
      <alignment horizontal="center" vertical="center"/>
    </xf>
    <xf numFmtId="0" fontId="30" fillId="0" borderId="0" xfId="7" applyFont="1" applyAlignment="1">
      <alignment horizontal="center" vertical="center"/>
    </xf>
    <xf numFmtId="0" fontId="11" fillId="12" borderId="1" xfId="0" applyFont="1" applyFill="1" applyBorder="1" applyAlignment="1">
      <alignment horizontal="center" wrapText="1"/>
    </xf>
    <xf numFmtId="0" fontId="9" fillId="14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5" borderId="0" xfId="0" applyFont="1" applyFill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1" xfId="2" quotePrefix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4" applyFont="1" applyBorder="1" applyAlignment="1">
      <alignment horizontal="left" vertical="center"/>
    </xf>
    <xf numFmtId="0" fontId="9" fillId="0" borderId="1" xfId="2" applyFont="1" applyBorder="1" applyAlignment="1">
      <alignment horizontal="left" vertical="center"/>
    </xf>
    <xf numFmtId="0" fontId="9" fillId="0" borderId="0" xfId="3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0" fontId="13" fillId="0" borderId="0" xfId="7" applyFont="1" applyAlignment="1">
      <alignment horizontal="center" vertical="center"/>
    </xf>
    <xf numFmtId="0" fontId="11" fillId="0" borderId="0" xfId="7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9" fillId="13" borderId="0" xfId="0" applyFont="1" applyFill="1" applyAlignment="1">
      <alignment horizontal="left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</cellXfs>
  <cellStyles count="845">
    <cellStyle name="@ET_Style?{BADE4C8C-2F35-4527-A09C-833D73683502}" xfId="7" xr:uid="{00000000-0005-0000-0000-000000000000}"/>
    <cellStyle name="Accent4 3" xfId="223" xr:uid="{00000000-0005-0000-0000-000001000000}"/>
    <cellStyle name="Accent4 3 2" xfId="224" xr:uid="{00000000-0005-0000-0000-000002000000}"/>
    <cellStyle name="Comma" xfId="1" builtinId="3"/>
    <cellStyle name="Comma [0] 2" xfId="10" xr:uid="{00000000-0005-0000-0000-000004000000}"/>
    <cellStyle name="Comma [0] 2 10" xfId="41" xr:uid="{00000000-0005-0000-0000-000005000000}"/>
    <cellStyle name="Comma [0] 2 10 2" xfId="775" xr:uid="{00000000-0005-0000-0000-000006000000}"/>
    <cellStyle name="Comma [0] 2 11" xfId="42" xr:uid="{00000000-0005-0000-0000-000007000000}"/>
    <cellStyle name="Comma [0] 2 11 2" xfId="776" xr:uid="{00000000-0005-0000-0000-000008000000}"/>
    <cellStyle name="Comma [0] 2 12" xfId="40" xr:uid="{00000000-0005-0000-0000-000009000000}"/>
    <cellStyle name="Comma [0] 2 12 2" xfId="225" xr:uid="{00000000-0005-0000-0000-00000A000000}"/>
    <cellStyle name="Comma [0] 2 13" xfId="774" xr:uid="{00000000-0005-0000-0000-00000B000000}"/>
    <cellStyle name="Comma [0] 2 2" xfId="36" xr:uid="{00000000-0005-0000-0000-00000C000000}"/>
    <cellStyle name="Comma [0] 2 2 2" xfId="771" xr:uid="{00000000-0005-0000-0000-00000D000000}"/>
    <cellStyle name="Comma [0] 2 3" xfId="37" xr:uid="{00000000-0005-0000-0000-00000E000000}"/>
    <cellStyle name="Comma [0] 2 3 2" xfId="772" xr:uid="{00000000-0005-0000-0000-00000F000000}"/>
    <cellStyle name="Comma [0] 2 4" xfId="33" xr:uid="{00000000-0005-0000-0000-000010000000}"/>
    <cellStyle name="Comma [0] 2 4 2" xfId="769" xr:uid="{00000000-0005-0000-0000-000011000000}"/>
    <cellStyle name="Comma [0] 2 5" xfId="43" xr:uid="{00000000-0005-0000-0000-000012000000}"/>
    <cellStyle name="Comma [0] 2 5 2" xfId="777" xr:uid="{00000000-0005-0000-0000-000013000000}"/>
    <cellStyle name="Comma [0] 2 6" xfId="44" xr:uid="{00000000-0005-0000-0000-000014000000}"/>
    <cellStyle name="Comma [0] 2 6 2" xfId="778" xr:uid="{00000000-0005-0000-0000-000015000000}"/>
    <cellStyle name="Comma [0] 2 7" xfId="45" xr:uid="{00000000-0005-0000-0000-000016000000}"/>
    <cellStyle name="Comma [0] 2 7 2" xfId="779" xr:uid="{00000000-0005-0000-0000-000017000000}"/>
    <cellStyle name="Comma [0] 2 8" xfId="38" xr:uid="{00000000-0005-0000-0000-000018000000}"/>
    <cellStyle name="Comma [0] 2 8 2" xfId="773" xr:uid="{00000000-0005-0000-0000-000019000000}"/>
    <cellStyle name="Comma [0] 2 9" xfId="48" xr:uid="{00000000-0005-0000-0000-00001A000000}"/>
    <cellStyle name="Comma [0] 2 9 2" xfId="781" xr:uid="{00000000-0005-0000-0000-00001B000000}"/>
    <cellStyle name="Comma [0] 3" xfId="47" xr:uid="{00000000-0005-0000-0000-00001C000000}"/>
    <cellStyle name="Comma [0] 3 2" xfId="51" xr:uid="{00000000-0005-0000-0000-00001D000000}"/>
    <cellStyle name="Comma [0] 3 2 2" xfId="782" xr:uid="{00000000-0005-0000-0000-00001E000000}"/>
    <cellStyle name="Comma [0] 3 3" xfId="226" xr:uid="{00000000-0005-0000-0000-00001F000000}"/>
    <cellStyle name="Comma [0] 3 4" xfId="227" xr:uid="{00000000-0005-0000-0000-000020000000}"/>
    <cellStyle name="Comma [0] 3 5" xfId="780" xr:uid="{00000000-0005-0000-0000-000021000000}"/>
    <cellStyle name="Comma [0] 4" xfId="52" xr:uid="{00000000-0005-0000-0000-000022000000}"/>
    <cellStyle name="Comma [0] 4 2" xfId="34" xr:uid="{00000000-0005-0000-0000-000023000000}"/>
    <cellStyle name="Comma [0] 4 2 2" xfId="770" xr:uid="{00000000-0005-0000-0000-000024000000}"/>
    <cellStyle name="Comma [0] 4 3" xfId="228" xr:uid="{00000000-0005-0000-0000-000025000000}"/>
    <cellStyle name="Comma [0] 4 4" xfId="783" xr:uid="{00000000-0005-0000-0000-000026000000}"/>
    <cellStyle name="Comma [0] 5" xfId="53" xr:uid="{00000000-0005-0000-0000-000027000000}"/>
    <cellStyle name="Comma [0] 5 2" xfId="54" xr:uid="{00000000-0005-0000-0000-000028000000}"/>
    <cellStyle name="Comma [0] 5 2 2" xfId="231" xr:uid="{00000000-0005-0000-0000-000029000000}"/>
    <cellStyle name="Comma [0] 5 2 2 2" xfId="711" xr:uid="{00000000-0005-0000-0000-00002A000000}"/>
    <cellStyle name="Comma [0] 5 2 3" xfId="230" xr:uid="{00000000-0005-0000-0000-00002B000000}"/>
    <cellStyle name="Comma [0] 5 2 4" xfId="710" xr:uid="{00000000-0005-0000-0000-00002C000000}"/>
    <cellStyle name="Comma [0] 5 2 5" xfId="785" xr:uid="{00000000-0005-0000-0000-00002D000000}"/>
    <cellStyle name="Comma [0] 5 3" xfId="232" xr:uid="{00000000-0005-0000-0000-00002E000000}"/>
    <cellStyle name="Comma [0] 5 3 2" xfId="712" xr:uid="{00000000-0005-0000-0000-00002F000000}"/>
    <cellStyle name="Comma [0] 5 4" xfId="229" xr:uid="{00000000-0005-0000-0000-000030000000}"/>
    <cellStyle name="Comma [0] 5 5" xfId="709" xr:uid="{00000000-0005-0000-0000-000031000000}"/>
    <cellStyle name="Comma [0] 5 6" xfId="784" xr:uid="{00000000-0005-0000-0000-000032000000}"/>
    <cellStyle name="Comma [0] 6" xfId="811" xr:uid="{00000000-0005-0000-0000-000033000000}"/>
    <cellStyle name="Comma [0] 7" xfId="823" xr:uid="{00000000-0005-0000-0000-000034000000}"/>
    <cellStyle name="Comma [0] 8" xfId="842" xr:uid="{00000000-0005-0000-0000-000035000000}"/>
    <cellStyle name="Comma 10" xfId="8" xr:uid="{00000000-0005-0000-0000-000036000000}"/>
    <cellStyle name="Comma 10 2" xfId="233" xr:uid="{00000000-0005-0000-0000-000037000000}"/>
    <cellStyle name="Comma 10 2 2" xfId="234" xr:uid="{00000000-0005-0000-0000-000038000000}"/>
    <cellStyle name="Comma 10 2 2 2" xfId="235" xr:uid="{00000000-0005-0000-0000-000039000000}"/>
    <cellStyle name="Comma 10 2 2 2 2" xfId="236" xr:uid="{00000000-0005-0000-0000-00003A000000}"/>
    <cellStyle name="Comma 10 2 2 2 2 2" xfId="237" xr:uid="{00000000-0005-0000-0000-00003B000000}"/>
    <cellStyle name="Comma 10 2 2 2 2 2 2" xfId="238" xr:uid="{00000000-0005-0000-0000-00003C000000}"/>
    <cellStyle name="Comma 10 2 2 2 2 3" xfId="239" xr:uid="{00000000-0005-0000-0000-00003D000000}"/>
    <cellStyle name="Comma 10 2 2 2 3" xfId="240" xr:uid="{00000000-0005-0000-0000-00003E000000}"/>
    <cellStyle name="Comma 10 2 2 2 3 2" xfId="241" xr:uid="{00000000-0005-0000-0000-00003F000000}"/>
    <cellStyle name="Comma 10 2 2 2 4" xfId="242" xr:uid="{00000000-0005-0000-0000-000040000000}"/>
    <cellStyle name="Comma 10 2 2 3" xfId="243" xr:uid="{00000000-0005-0000-0000-000041000000}"/>
    <cellStyle name="Comma 10 2 2 3 2" xfId="244" xr:uid="{00000000-0005-0000-0000-000042000000}"/>
    <cellStyle name="Comma 10 2 2 3 2 2" xfId="245" xr:uid="{00000000-0005-0000-0000-000043000000}"/>
    <cellStyle name="Comma 10 2 2 3 3" xfId="246" xr:uid="{00000000-0005-0000-0000-000044000000}"/>
    <cellStyle name="Comma 10 2 2 4" xfId="247" xr:uid="{00000000-0005-0000-0000-000045000000}"/>
    <cellStyle name="Comma 10 2 2 4 2" xfId="248" xr:uid="{00000000-0005-0000-0000-000046000000}"/>
    <cellStyle name="Comma 10 2 2 5" xfId="249" xr:uid="{00000000-0005-0000-0000-000047000000}"/>
    <cellStyle name="Comma 10 2 3" xfId="250" xr:uid="{00000000-0005-0000-0000-000048000000}"/>
    <cellStyle name="Comma 10 2 3 2" xfId="251" xr:uid="{00000000-0005-0000-0000-000049000000}"/>
    <cellStyle name="Comma 10 2 3 2 2" xfId="252" xr:uid="{00000000-0005-0000-0000-00004A000000}"/>
    <cellStyle name="Comma 10 2 3 2 2 2" xfId="253" xr:uid="{00000000-0005-0000-0000-00004B000000}"/>
    <cellStyle name="Comma 10 2 3 2 3" xfId="254" xr:uid="{00000000-0005-0000-0000-00004C000000}"/>
    <cellStyle name="Comma 10 2 3 3" xfId="255" xr:uid="{00000000-0005-0000-0000-00004D000000}"/>
    <cellStyle name="Comma 10 2 3 3 2" xfId="256" xr:uid="{00000000-0005-0000-0000-00004E000000}"/>
    <cellStyle name="Comma 10 2 3 4" xfId="257" xr:uid="{00000000-0005-0000-0000-00004F000000}"/>
    <cellStyle name="Comma 10 2 4" xfId="258" xr:uid="{00000000-0005-0000-0000-000050000000}"/>
    <cellStyle name="Comma 10 2 4 2" xfId="259" xr:uid="{00000000-0005-0000-0000-000051000000}"/>
    <cellStyle name="Comma 10 2 4 2 2" xfId="260" xr:uid="{00000000-0005-0000-0000-000052000000}"/>
    <cellStyle name="Comma 10 2 4 3" xfId="261" xr:uid="{00000000-0005-0000-0000-000053000000}"/>
    <cellStyle name="Comma 10 2 5" xfId="262" xr:uid="{00000000-0005-0000-0000-000054000000}"/>
    <cellStyle name="Comma 10 2 5 2" xfId="263" xr:uid="{00000000-0005-0000-0000-000055000000}"/>
    <cellStyle name="Comma 10 2 6" xfId="264" xr:uid="{00000000-0005-0000-0000-000056000000}"/>
    <cellStyle name="Comma 10 3" xfId="265" xr:uid="{00000000-0005-0000-0000-000057000000}"/>
    <cellStyle name="Comma 10 3 2" xfId="266" xr:uid="{00000000-0005-0000-0000-000058000000}"/>
    <cellStyle name="Comma 10 3 2 2" xfId="267" xr:uid="{00000000-0005-0000-0000-000059000000}"/>
    <cellStyle name="Comma 10 3 2 2 2" xfId="268" xr:uid="{00000000-0005-0000-0000-00005A000000}"/>
    <cellStyle name="Comma 10 3 2 2 2 2" xfId="269" xr:uid="{00000000-0005-0000-0000-00005B000000}"/>
    <cellStyle name="Comma 10 3 2 2 3" xfId="270" xr:uid="{00000000-0005-0000-0000-00005C000000}"/>
    <cellStyle name="Comma 10 3 2 3" xfId="271" xr:uid="{00000000-0005-0000-0000-00005D000000}"/>
    <cellStyle name="Comma 10 3 2 3 2" xfId="272" xr:uid="{00000000-0005-0000-0000-00005E000000}"/>
    <cellStyle name="Comma 10 3 2 4" xfId="273" xr:uid="{00000000-0005-0000-0000-00005F000000}"/>
    <cellStyle name="Comma 10 3 3" xfId="274" xr:uid="{00000000-0005-0000-0000-000060000000}"/>
    <cellStyle name="Comma 10 3 3 2" xfId="275" xr:uid="{00000000-0005-0000-0000-000061000000}"/>
    <cellStyle name="Comma 10 3 3 2 2" xfId="276" xr:uid="{00000000-0005-0000-0000-000062000000}"/>
    <cellStyle name="Comma 10 3 3 3" xfId="277" xr:uid="{00000000-0005-0000-0000-000063000000}"/>
    <cellStyle name="Comma 10 3 4" xfId="278" xr:uid="{00000000-0005-0000-0000-000064000000}"/>
    <cellStyle name="Comma 10 3 4 2" xfId="279" xr:uid="{00000000-0005-0000-0000-000065000000}"/>
    <cellStyle name="Comma 10 3 5" xfId="280" xr:uid="{00000000-0005-0000-0000-000066000000}"/>
    <cellStyle name="Comma 10 4" xfId="281" xr:uid="{00000000-0005-0000-0000-000067000000}"/>
    <cellStyle name="Comma 10 4 2" xfId="282" xr:uid="{00000000-0005-0000-0000-000068000000}"/>
    <cellStyle name="Comma 10 4 2 2" xfId="283" xr:uid="{00000000-0005-0000-0000-000069000000}"/>
    <cellStyle name="Comma 10 4 2 2 2" xfId="284" xr:uid="{00000000-0005-0000-0000-00006A000000}"/>
    <cellStyle name="Comma 10 4 2 3" xfId="285" xr:uid="{00000000-0005-0000-0000-00006B000000}"/>
    <cellStyle name="Comma 10 4 3" xfId="286" xr:uid="{00000000-0005-0000-0000-00006C000000}"/>
    <cellStyle name="Comma 10 4 3 2" xfId="287" xr:uid="{00000000-0005-0000-0000-00006D000000}"/>
    <cellStyle name="Comma 10 4 4" xfId="288" xr:uid="{00000000-0005-0000-0000-00006E000000}"/>
    <cellStyle name="Comma 10 5" xfId="289" xr:uid="{00000000-0005-0000-0000-00006F000000}"/>
    <cellStyle name="Comma 10 5 2" xfId="290" xr:uid="{00000000-0005-0000-0000-000070000000}"/>
    <cellStyle name="Comma 10 5 2 2" xfId="291" xr:uid="{00000000-0005-0000-0000-000071000000}"/>
    <cellStyle name="Comma 10 5 3" xfId="292" xr:uid="{00000000-0005-0000-0000-000072000000}"/>
    <cellStyle name="Comma 10 6" xfId="293" xr:uid="{00000000-0005-0000-0000-000073000000}"/>
    <cellStyle name="Comma 10 6 2" xfId="294" xr:uid="{00000000-0005-0000-0000-000074000000}"/>
    <cellStyle name="Comma 10 7" xfId="295" xr:uid="{00000000-0005-0000-0000-000075000000}"/>
    <cellStyle name="Comma 11" xfId="296" xr:uid="{00000000-0005-0000-0000-000076000000}"/>
    <cellStyle name="Comma 11 2" xfId="99" xr:uid="{00000000-0005-0000-0000-000077000000}"/>
    <cellStyle name="Comma 11 2 2" xfId="297" xr:uid="{00000000-0005-0000-0000-000078000000}"/>
    <cellStyle name="Comma 11 2 3" xfId="714" xr:uid="{00000000-0005-0000-0000-000079000000}"/>
    <cellStyle name="Comma 11 2 4" xfId="809" xr:uid="{00000000-0005-0000-0000-00007A000000}"/>
    <cellStyle name="Comma 11 3" xfId="713" xr:uid="{00000000-0005-0000-0000-00007B000000}"/>
    <cellStyle name="Comma 12" xfId="298" xr:uid="{00000000-0005-0000-0000-00007C000000}"/>
    <cellStyle name="Comma 12 2" xfId="299" xr:uid="{00000000-0005-0000-0000-00007D000000}"/>
    <cellStyle name="Comma 12 2 2" xfId="716" xr:uid="{00000000-0005-0000-0000-00007E000000}"/>
    <cellStyle name="Comma 12 3" xfId="715" xr:uid="{00000000-0005-0000-0000-00007F000000}"/>
    <cellStyle name="Comma 13" xfId="300" xr:uid="{00000000-0005-0000-0000-000080000000}"/>
    <cellStyle name="Comma 13 2" xfId="301" xr:uid="{00000000-0005-0000-0000-000081000000}"/>
    <cellStyle name="Comma 13 2 2" xfId="718" xr:uid="{00000000-0005-0000-0000-000082000000}"/>
    <cellStyle name="Comma 13 3" xfId="717" xr:uid="{00000000-0005-0000-0000-000083000000}"/>
    <cellStyle name="Comma 14" xfId="302" xr:uid="{00000000-0005-0000-0000-000084000000}"/>
    <cellStyle name="Comma 14 2" xfId="303" xr:uid="{00000000-0005-0000-0000-000085000000}"/>
    <cellStyle name="Comma 14 2 2" xfId="720" xr:uid="{00000000-0005-0000-0000-000086000000}"/>
    <cellStyle name="Comma 14 3" xfId="719" xr:uid="{00000000-0005-0000-0000-000087000000}"/>
    <cellStyle name="Comma 15" xfId="304" xr:uid="{00000000-0005-0000-0000-000088000000}"/>
    <cellStyle name="Comma 15 2" xfId="305" xr:uid="{00000000-0005-0000-0000-000089000000}"/>
    <cellStyle name="Comma 15 2 2" xfId="722" xr:uid="{00000000-0005-0000-0000-00008A000000}"/>
    <cellStyle name="Comma 15 3" xfId="721" xr:uid="{00000000-0005-0000-0000-00008B000000}"/>
    <cellStyle name="Comma 16" xfId="306" xr:uid="{00000000-0005-0000-0000-00008C000000}"/>
    <cellStyle name="Comma 16 2" xfId="307" xr:uid="{00000000-0005-0000-0000-00008D000000}"/>
    <cellStyle name="Comma 16 2 2" xfId="724" xr:uid="{00000000-0005-0000-0000-00008E000000}"/>
    <cellStyle name="Comma 16 3" xfId="723" xr:uid="{00000000-0005-0000-0000-00008F000000}"/>
    <cellStyle name="Comma 17" xfId="766" xr:uid="{00000000-0005-0000-0000-000090000000}"/>
    <cellStyle name="Comma 18" xfId="815" xr:uid="{00000000-0005-0000-0000-000091000000}"/>
    <cellStyle name="Comma 19" xfId="816" xr:uid="{00000000-0005-0000-0000-000092000000}"/>
    <cellStyle name="Comma 2" xfId="55" xr:uid="{00000000-0005-0000-0000-000093000000}"/>
    <cellStyle name="Comma 2 10" xfId="56" xr:uid="{00000000-0005-0000-0000-000094000000}"/>
    <cellStyle name="Comma 2 10 2" xfId="787" xr:uid="{00000000-0005-0000-0000-000095000000}"/>
    <cellStyle name="Comma 2 11" xfId="57" xr:uid="{00000000-0005-0000-0000-000096000000}"/>
    <cellStyle name="Comma 2 11 2" xfId="788" xr:uid="{00000000-0005-0000-0000-000097000000}"/>
    <cellStyle name="Comma 2 12" xfId="58" xr:uid="{00000000-0005-0000-0000-000098000000}"/>
    <cellStyle name="Comma 2 12 2" xfId="789" xr:uid="{00000000-0005-0000-0000-000099000000}"/>
    <cellStyle name="Comma 2 13" xfId="26" xr:uid="{00000000-0005-0000-0000-00009A000000}"/>
    <cellStyle name="Comma 2 13 2" xfId="768" xr:uid="{00000000-0005-0000-0000-00009B000000}"/>
    <cellStyle name="Comma 2 14" xfId="59" xr:uid="{00000000-0005-0000-0000-00009C000000}"/>
    <cellStyle name="Comma 2 14 2" xfId="790" xr:uid="{00000000-0005-0000-0000-00009D000000}"/>
    <cellStyle name="Comma 2 15" xfId="60" xr:uid="{00000000-0005-0000-0000-00009E000000}"/>
    <cellStyle name="Comma 2 15 2" xfId="791" xr:uid="{00000000-0005-0000-0000-00009F000000}"/>
    <cellStyle name="Comma 2 16" xfId="61" xr:uid="{00000000-0005-0000-0000-0000A0000000}"/>
    <cellStyle name="Comma 2 16 2" xfId="792" xr:uid="{00000000-0005-0000-0000-0000A1000000}"/>
    <cellStyle name="Comma 2 17" xfId="62" xr:uid="{00000000-0005-0000-0000-0000A2000000}"/>
    <cellStyle name="Comma 2 17 2" xfId="793" xr:uid="{00000000-0005-0000-0000-0000A3000000}"/>
    <cellStyle name="Comma 2 18" xfId="786" xr:uid="{00000000-0005-0000-0000-0000A4000000}"/>
    <cellStyle name="Comma 2 19" xfId="827" xr:uid="{00000000-0005-0000-0000-0000A5000000}"/>
    <cellStyle name="Comma 2 2" xfId="63" xr:uid="{00000000-0005-0000-0000-0000A6000000}"/>
    <cellStyle name="Comma 2 2 2" xfId="794" xr:uid="{00000000-0005-0000-0000-0000A7000000}"/>
    <cellStyle name="Comma 2 20" xfId="837" xr:uid="{00000000-0005-0000-0000-0000A8000000}"/>
    <cellStyle name="Comma 2 21" xfId="840" xr:uid="{00000000-0005-0000-0000-0000A9000000}"/>
    <cellStyle name="Comma 2 22" xfId="843" xr:uid="{00000000-0005-0000-0000-0000AA000000}"/>
    <cellStyle name="Comma 2 3" xfId="64" xr:uid="{00000000-0005-0000-0000-0000AB000000}"/>
    <cellStyle name="Comma 2 3 2" xfId="795" xr:uid="{00000000-0005-0000-0000-0000AC000000}"/>
    <cellStyle name="Comma 2 4" xfId="25" xr:uid="{00000000-0005-0000-0000-0000AD000000}"/>
    <cellStyle name="Comma 2 4 2" xfId="767" xr:uid="{00000000-0005-0000-0000-0000AE000000}"/>
    <cellStyle name="Comma 2 5" xfId="65" xr:uid="{00000000-0005-0000-0000-0000AF000000}"/>
    <cellStyle name="Comma 2 5 2" xfId="796" xr:uid="{00000000-0005-0000-0000-0000B0000000}"/>
    <cellStyle name="Comma 2 6" xfId="66" xr:uid="{00000000-0005-0000-0000-0000B1000000}"/>
    <cellStyle name="Comma 2 6 2" xfId="797" xr:uid="{00000000-0005-0000-0000-0000B2000000}"/>
    <cellStyle name="Comma 2 7" xfId="67" xr:uid="{00000000-0005-0000-0000-0000B3000000}"/>
    <cellStyle name="Comma 2 7 2" xfId="798" xr:uid="{00000000-0005-0000-0000-0000B4000000}"/>
    <cellStyle name="Comma 2 8" xfId="68" xr:uid="{00000000-0005-0000-0000-0000B5000000}"/>
    <cellStyle name="Comma 2 8 2" xfId="799" xr:uid="{00000000-0005-0000-0000-0000B6000000}"/>
    <cellStyle name="Comma 2 9" xfId="69" xr:uid="{00000000-0005-0000-0000-0000B7000000}"/>
    <cellStyle name="Comma 2 9 2" xfId="800" xr:uid="{00000000-0005-0000-0000-0000B8000000}"/>
    <cellStyle name="Comma 20" xfId="817" xr:uid="{00000000-0005-0000-0000-0000B9000000}"/>
    <cellStyle name="Comma 21" xfId="818" xr:uid="{00000000-0005-0000-0000-0000BA000000}"/>
    <cellStyle name="Comma 22" xfId="820" xr:uid="{00000000-0005-0000-0000-0000BB000000}"/>
    <cellStyle name="Comma 23" xfId="822" xr:uid="{00000000-0005-0000-0000-0000BC000000}"/>
    <cellStyle name="Comma 24" xfId="829" xr:uid="{00000000-0005-0000-0000-0000BD000000}"/>
    <cellStyle name="Comma 25" xfId="830" xr:uid="{00000000-0005-0000-0000-0000BE000000}"/>
    <cellStyle name="Comma 26" xfId="831" xr:uid="{00000000-0005-0000-0000-0000BF000000}"/>
    <cellStyle name="Comma 27" xfId="832" xr:uid="{00000000-0005-0000-0000-0000C0000000}"/>
    <cellStyle name="Comma 28" xfId="833" xr:uid="{00000000-0005-0000-0000-0000C1000000}"/>
    <cellStyle name="Comma 3" xfId="70" xr:uid="{00000000-0005-0000-0000-0000C2000000}"/>
    <cellStyle name="Comma 3 2" xfId="71" xr:uid="{00000000-0005-0000-0000-0000C3000000}"/>
    <cellStyle name="Comma 3 2 2" xfId="802" xr:uid="{00000000-0005-0000-0000-0000C4000000}"/>
    <cellStyle name="Comma 3 3" xfId="73" xr:uid="{00000000-0005-0000-0000-0000C5000000}"/>
    <cellStyle name="Comma 3 3 2" xfId="803" xr:uid="{00000000-0005-0000-0000-0000C6000000}"/>
    <cellStyle name="Comma 3 4" xfId="801" xr:uid="{00000000-0005-0000-0000-0000C7000000}"/>
    <cellStyle name="Comma 4" xfId="74" xr:uid="{00000000-0005-0000-0000-0000C8000000}"/>
    <cellStyle name="Comma 4 2" xfId="75" xr:uid="{00000000-0005-0000-0000-0000C9000000}"/>
    <cellStyle name="Comma 4 2 2" xfId="805" xr:uid="{00000000-0005-0000-0000-0000CA000000}"/>
    <cellStyle name="Comma 4 3" xfId="77" xr:uid="{00000000-0005-0000-0000-0000CB000000}"/>
    <cellStyle name="Comma 4 3 2" xfId="806" xr:uid="{00000000-0005-0000-0000-0000CC000000}"/>
    <cellStyle name="Comma 4 4" xfId="804" xr:uid="{00000000-0005-0000-0000-0000CD000000}"/>
    <cellStyle name="Comma 5" xfId="78" xr:uid="{00000000-0005-0000-0000-0000CE000000}"/>
    <cellStyle name="Comma 5 2" xfId="807" xr:uid="{00000000-0005-0000-0000-0000CF000000}"/>
    <cellStyle name="Comma 6" xfId="79" xr:uid="{00000000-0005-0000-0000-0000D0000000}"/>
    <cellStyle name="Comma 6 2" xfId="808" xr:uid="{00000000-0005-0000-0000-0000D1000000}"/>
    <cellStyle name="Comma 7" xfId="308" xr:uid="{00000000-0005-0000-0000-0000D2000000}"/>
    <cellStyle name="Comma 8" xfId="309" xr:uid="{00000000-0005-0000-0000-0000D3000000}"/>
    <cellStyle name="Comma 9" xfId="310" xr:uid="{00000000-0005-0000-0000-0000D4000000}"/>
    <cellStyle name="Currency [0] 2" xfId="80" xr:uid="{00000000-0005-0000-0000-0000D5000000}"/>
    <cellStyle name="Currency [0] 3" xfId="81" xr:uid="{00000000-0005-0000-0000-0000D6000000}"/>
    <cellStyle name="Currency [0] 4" xfId="76" xr:uid="{00000000-0005-0000-0000-0000D7000000}"/>
    <cellStyle name="Currency [0] 4 2" xfId="311" xr:uid="{00000000-0005-0000-0000-0000D8000000}"/>
    <cellStyle name="Normal" xfId="0" builtinId="0"/>
    <cellStyle name="Normal 10" xfId="46" xr:uid="{00000000-0005-0000-0000-0000DA000000}"/>
    <cellStyle name="Normal 10 2" xfId="11" xr:uid="{00000000-0005-0000-0000-0000DB000000}"/>
    <cellStyle name="Normal 10 2 2" xfId="828" xr:uid="{00000000-0005-0000-0000-0000DC000000}"/>
    <cellStyle name="Normal 11" xfId="39" xr:uid="{00000000-0005-0000-0000-0000DD000000}"/>
    <cellStyle name="Normal 11 2" xfId="312" xr:uid="{00000000-0005-0000-0000-0000DE000000}"/>
    <cellStyle name="Normal 11 2 2" xfId="313" xr:uid="{00000000-0005-0000-0000-0000DF000000}"/>
    <cellStyle name="Normal 11 2 2 2" xfId="314" xr:uid="{00000000-0005-0000-0000-0000E0000000}"/>
    <cellStyle name="Normal 11 2 2 2 2" xfId="315" xr:uid="{00000000-0005-0000-0000-0000E1000000}"/>
    <cellStyle name="Normal 11 2 2 2 2 2" xfId="316" xr:uid="{00000000-0005-0000-0000-0000E2000000}"/>
    <cellStyle name="Normal 11 2 2 2 2 2 2" xfId="317" xr:uid="{00000000-0005-0000-0000-0000E3000000}"/>
    <cellStyle name="Normal 11 2 2 2 2 3" xfId="318" xr:uid="{00000000-0005-0000-0000-0000E4000000}"/>
    <cellStyle name="Normal 11 2 2 2 3" xfId="319" xr:uid="{00000000-0005-0000-0000-0000E5000000}"/>
    <cellStyle name="Normal 11 2 2 2 3 2" xfId="320" xr:uid="{00000000-0005-0000-0000-0000E6000000}"/>
    <cellStyle name="Normal 11 2 2 2 4" xfId="321" xr:uid="{00000000-0005-0000-0000-0000E7000000}"/>
    <cellStyle name="Normal 11 2 2 3" xfId="322" xr:uid="{00000000-0005-0000-0000-0000E8000000}"/>
    <cellStyle name="Normal 11 2 2 3 2" xfId="323" xr:uid="{00000000-0005-0000-0000-0000E9000000}"/>
    <cellStyle name="Normal 11 2 2 3 2 2" xfId="324" xr:uid="{00000000-0005-0000-0000-0000EA000000}"/>
    <cellStyle name="Normal 11 2 2 3 3" xfId="325" xr:uid="{00000000-0005-0000-0000-0000EB000000}"/>
    <cellStyle name="Normal 11 2 2 4" xfId="326" xr:uid="{00000000-0005-0000-0000-0000EC000000}"/>
    <cellStyle name="Normal 11 2 2 4 2" xfId="327" xr:uid="{00000000-0005-0000-0000-0000ED000000}"/>
    <cellStyle name="Normal 11 2 2 5" xfId="328" xr:uid="{00000000-0005-0000-0000-0000EE000000}"/>
    <cellStyle name="Normal 11 2 3" xfId="329" xr:uid="{00000000-0005-0000-0000-0000EF000000}"/>
    <cellStyle name="Normal 11 2 3 2" xfId="330" xr:uid="{00000000-0005-0000-0000-0000F0000000}"/>
    <cellStyle name="Normal 11 2 3 2 2" xfId="331" xr:uid="{00000000-0005-0000-0000-0000F1000000}"/>
    <cellStyle name="Normal 11 2 3 2 2 2" xfId="332" xr:uid="{00000000-0005-0000-0000-0000F2000000}"/>
    <cellStyle name="Normal 11 2 3 2 3" xfId="333" xr:uid="{00000000-0005-0000-0000-0000F3000000}"/>
    <cellStyle name="Normal 11 2 3 3" xfId="334" xr:uid="{00000000-0005-0000-0000-0000F4000000}"/>
    <cellStyle name="Normal 11 2 3 3 2" xfId="335" xr:uid="{00000000-0005-0000-0000-0000F5000000}"/>
    <cellStyle name="Normal 11 2 3 4" xfId="336" xr:uid="{00000000-0005-0000-0000-0000F6000000}"/>
    <cellStyle name="Normal 11 2 4" xfId="337" xr:uid="{00000000-0005-0000-0000-0000F7000000}"/>
    <cellStyle name="Normal 11 2 4 2" xfId="338" xr:uid="{00000000-0005-0000-0000-0000F8000000}"/>
    <cellStyle name="Normal 11 2 4 2 2" xfId="339" xr:uid="{00000000-0005-0000-0000-0000F9000000}"/>
    <cellStyle name="Normal 11 2 4 3" xfId="340" xr:uid="{00000000-0005-0000-0000-0000FA000000}"/>
    <cellStyle name="Normal 11 2 5" xfId="341" xr:uid="{00000000-0005-0000-0000-0000FB000000}"/>
    <cellStyle name="Normal 11 2 5 2" xfId="342" xr:uid="{00000000-0005-0000-0000-0000FC000000}"/>
    <cellStyle name="Normal 11 2 6" xfId="343" xr:uid="{00000000-0005-0000-0000-0000FD000000}"/>
    <cellStyle name="Normal 11 3" xfId="344" xr:uid="{00000000-0005-0000-0000-0000FE000000}"/>
    <cellStyle name="Normal 11 3 2" xfId="345" xr:uid="{00000000-0005-0000-0000-0000FF000000}"/>
    <cellStyle name="Normal 11 3 2 2" xfId="346" xr:uid="{00000000-0005-0000-0000-000000010000}"/>
    <cellStyle name="Normal 11 3 2 2 2" xfId="347" xr:uid="{00000000-0005-0000-0000-000001010000}"/>
    <cellStyle name="Normal 11 3 2 2 2 2" xfId="348" xr:uid="{00000000-0005-0000-0000-000002010000}"/>
    <cellStyle name="Normal 11 3 2 2 3" xfId="349" xr:uid="{00000000-0005-0000-0000-000003010000}"/>
    <cellStyle name="Normal 11 3 2 3" xfId="350" xr:uid="{00000000-0005-0000-0000-000004010000}"/>
    <cellStyle name="Normal 11 3 2 3 2" xfId="351" xr:uid="{00000000-0005-0000-0000-000005010000}"/>
    <cellStyle name="Normal 11 3 2 4" xfId="352" xr:uid="{00000000-0005-0000-0000-000006010000}"/>
    <cellStyle name="Normal 11 3 3" xfId="353" xr:uid="{00000000-0005-0000-0000-000007010000}"/>
    <cellStyle name="Normal 11 3 3 2" xfId="354" xr:uid="{00000000-0005-0000-0000-000008010000}"/>
    <cellStyle name="Normal 11 3 3 2 2" xfId="355" xr:uid="{00000000-0005-0000-0000-000009010000}"/>
    <cellStyle name="Normal 11 3 3 3" xfId="356" xr:uid="{00000000-0005-0000-0000-00000A010000}"/>
    <cellStyle name="Normal 11 3 4" xfId="357" xr:uid="{00000000-0005-0000-0000-00000B010000}"/>
    <cellStyle name="Normal 11 3 4 2" xfId="358" xr:uid="{00000000-0005-0000-0000-00000C010000}"/>
    <cellStyle name="Normal 11 3 5" xfId="359" xr:uid="{00000000-0005-0000-0000-00000D010000}"/>
    <cellStyle name="Normal 11 4" xfId="360" xr:uid="{00000000-0005-0000-0000-00000E010000}"/>
    <cellStyle name="Normal 11 4 2" xfId="361" xr:uid="{00000000-0005-0000-0000-00000F010000}"/>
    <cellStyle name="Normal 11 4 2 2" xfId="362" xr:uid="{00000000-0005-0000-0000-000010010000}"/>
    <cellStyle name="Normal 11 4 2 2 2" xfId="363" xr:uid="{00000000-0005-0000-0000-000011010000}"/>
    <cellStyle name="Normal 11 4 2 3" xfId="364" xr:uid="{00000000-0005-0000-0000-000012010000}"/>
    <cellStyle name="Normal 11 4 3" xfId="365" xr:uid="{00000000-0005-0000-0000-000013010000}"/>
    <cellStyle name="Normal 11 4 3 2" xfId="366" xr:uid="{00000000-0005-0000-0000-000014010000}"/>
    <cellStyle name="Normal 11 4 4" xfId="367" xr:uid="{00000000-0005-0000-0000-000015010000}"/>
    <cellStyle name="Normal 11 5" xfId="368" xr:uid="{00000000-0005-0000-0000-000016010000}"/>
    <cellStyle name="Normal 11 6" xfId="369" xr:uid="{00000000-0005-0000-0000-000017010000}"/>
    <cellStyle name="Normal 11 6 2" xfId="370" xr:uid="{00000000-0005-0000-0000-000018010000}"/>
    <cellStyle name="Normal 11 6 2 2" xfId="371" xr:uid="{00000000-0005-0000-0000-000019010000}"/>
    <cellStyle name="Normal 11 6 3" xfId="372" xr:uid="{00000000-0005-0000-0000-00001A010000}"/>
    <cellStyle name="Normal 11 7" xfId="373" xr:uid="{00000000-0005-0000-0000-00001B010000}"/>
    <cellStyle name="Normal 11 7 2" xfId="374" xr:uid="{00000000-0005-0000-0000-00001C010000}"/>
    <cellStyle name="Normal 11 8" xfId="375" xr:uid="{00000000-0005-0000-0000-00001D010000}"/>
    <cellStyle name="Normal 11 9" xfId="376" xr:uid="{00000000-0005-0000-0000-00001E010000}"/>
    <cellStyle name="Normal 116" xfId="824" xr:uid="{00000000-0005-0000-0000-00001F010000}"/>
    <cellStyle name="Normal 12" xfId="49" xr:uid="{00000000-0005-0000-0000-000020010000}"/>
    <cellStyle name="Normal 12 2" xfId="377" xr:uid="{00000000-0005-0000-0000-000021010000}"/>
    <cellStyle name="Normal 12 2 2" xfId="378" xr:uid="{00000000-0005-0000-0000-000022010000}"/>
    <cellStyle name="Normal 12 2 2 2" xfId="379" xr:uid="{00000000-0005-0000-0000-000023010000}"/>
    <cellStyle name="Normal 12 2 2 2 2" xfId="380" xr:uid="{00000000-0005-0000-0000-000024010000}"/>
    <cellStyle name="Normal 12 2 2 2 2 2" xfId="381" xr:uid="{00000000-0005-0000-0000-000025010000}"/>
    <cellStyle name="Normal 12 2 2 2 2 2 2" xfId="382" xr:uid="{00000000-0005-0000-0000-000026010000}"/>
    <cellStyle name="Normal 12 2 2 2 2 3" xfId="383" xr:uid="{00000000-0005-0000-0000-000027010000}"/>
    <cellStyle name="Normal 12 2 2 2 3" xfId="384" xr:uid="{00000000-0005-0000-0000-000028010000}"/>
    <cellStyle name="Normal 12 2 2 2 3 2" xfId="385" xr:uid="{00000000-0005-0000-0000-000029010000}"/>
    <cellStyle name="Normal 12 2 2 2 4" xfId="386" xr:uid="{00000000-0005-0000-0000-00002A010000}"/>
    <cellStyle name="Normal 12 2 2 3" xfId="387" xr:uid="{00000000-0005-0000-0000-00002B010000}"/>
    <cellStyle name="Normal 12 2 2 3 2" xfId="388" xr:uid="{00000000-0005-0000-0000-00002C010000}"/>
    <cellStyle name="Normal 12 2 2 3 2 2" xfId="389" xr:uid="{00000000-0005-0000-0000-00002D010000}"/>
    <cellStyle name="Normal 12 2 2 3 3" xfId="390" xr:uid="{00000000-0005-0000-0000-00002E010000}"/>
    <cellStyle name="Normal 12 2 2 4" xfId="391" xr:uid="{00000000-0005-0000-0000-00002F010000}"/>
    <cellStyle name="Normal 12 2 2 4 2" xfId="392" xr:uid="{00000000-0005-0000-0000-000030010000}"/>
    <cellStyle name="Normal 12 2 2 5" xfId="393" xr:uid="{00000000-0005-0000-0000-000031010000}"/>
    <cellStyle name="Normal 12 2 3" xfId="394" xr:uid="{00000000-0005-0000-0000-000032010000}"/>
    <cellStyle name="Normal 12 2 3 2" xfId="395" xr:uid="{00000000-0005-0000-0000-000033010000}"/>
    <cellStyle name="Normal 12 2 3 2 2" xfId="396" xr:uid="{00000000-0005-0000-0000-000034010000}"/>
    <cellStyle name="Normal 12 2 3 2 2 2" xfId="397" xr:uid="{00000000-0005-0000-0000-000035010000}"/>
    <cellStyle name="Normal 12 2 3 2 3" xfId="398" xr:uid="{00000000-0005-0000-0000-000036010000}"/>
    <cellStyle name="Normal 12 2 3 3" xfId="399" xr:uid="{00000000-0005-0000-0000-000037010000}"/>
    <cellStyle name="Normal 12 2 3 3 2" xfId="400" xr:uid="{00000000-0005-0000-0000-000038010000}"/>
    <cellStyle name="Normal 12 2 3 4" xfId="401" xr:uid="{00000000-0005-0000-0000-000039010000}"/>
    <cellStyle name="Normal 12 2 4" xfId="402" xr:uid="{00000000-0005-0000-0000-00003A010000}"/>
    <cellStyle name="Normal 12 2 4 2" xfId="403" xr:uid="{00000000-0005-0000-0000-00003B010000}"/>
    <cellStyle name="Normal 12 2 4 2 2" xfId="404" xr:uid="{00000000-0005-0000-0000-00003C010000}"/>
    <cellStyle name="Normal 12 2 4 2 2 2" xfId="405" xr:uid="{00000000-0005-0000-0000-00003D010000}"/>
    <cellStyle name="Normal 12 2 4 2 3" xfId="406" xr:uid="{00000000-0005-0000-0000-00003E010000}"/>
    <cellStyle name="Normal 12 2 4 3" xfId="407" xr:uid="{00000000-0005-0000-0000-00003F010000}"/>
    <cellStyle name="Normal 12 2 4 3 2" xfId="408" xr:uid="{00000000-0005-0000-0000-000040010000}"/>
    <cellStyle name="Normal 12 2 4 4" xfId="409" xr:uid="{00000000-0005-0000-0000-000041010000}"/>
    <cellStyle name="Normal 12 2 5" xfId="410" xr:uid="{00000000-0005-0000-0000-000042010000}"/>
    <cellStyle name="Normal 12 2 5 2" xfId="411" xr:uid="{00000000-0005-0000-0000-000043010000}"/>
    <cellStyle name="Normal 12 2 5 2 2" xfId="412" xr:uid="{00000000-0005-0000-0000-000044010000}"/>
    <cellStyle name="Normal 12 2 5 3" xfId="413" xr:uid="{00000000-0005-0000-0000-000045010000}"/>
    <cellStyle name="Normal 12 2 6" xfId="414" xr:uid="{00000000-0005-0000-0000-000046010000}"/>
    <cellStyle name="Normal 12 2 6 2" xfId="415" xr:uid="{00000000-0005-0000-0000-000047010000}"/>
    <cellStyle name="Normal 12 2 7" xfId="416" xr:uid="{00000000-0005-0000-0000-000048010000}"/>
    <cellStyle name="Normal 12 3" xfId="417" xr:uid="{00000000-0005-0000-0000-000049010000}"/>
    <cellStyle name="Normal 12 3 2" xfId="418" xr:uid="{00000000-0005-0000-0000-00004A010000}"/>
    <cellStyle name="Normal 12 3 2 2" xfId="419" xr:uid="{00000000-0005-0000-0000-00004B010000}"/>
    <cellStyle name="Normal 12 3 2 2 2" xfId="420" xr:uid="{00000000-0005-0000-0000-00004C010000}"/>
    <cellStyle name="Normal 12 3 2 2 2 2" xfId="421" xr:uid="{00000000-0005-0000-0000-00004D010000}"/>
    <cellStyle name="Normal 12 3 2 2 3" xfId="422" xr:uid="{00000000-0005-0000-0000-00004E010000}"/>
    <cellStyle name="Normal 12 3 2 3" xfId="423" xr:uid="{00000000-0005-0000-0000-00004F010000}"/>
    <cellStyle name="Normal 12 3 2 3 2" xfId="424" xr:uid="{00000000-0005-0000-0000-000050010000}"/>
    <cellStyle name="Normal 12 3 2 4" xfId="425" xr:uid="{00000000-0005-0000-0000-000051010000}"/>
    <cellStyle name="Normal 12 3 3" xfId="426" xr:uid="{00000000-0005-0000-0000-000052010000}"/>
    <cellStyle name="Normal 12 3 3 2" xfId="427" xr:uid="{00000000-0005-0000-0000-000053010000}"/>
    <cellStyle name="Normal 12 3 3 2 2" xfId="428" xr:uid="{00000000-0005-0000-0000-000054010000}"/>
    <cellStyle name="Normal 12 3 3 3" xfId="429" xr:uid="{00000000-0005-0000-0000-000055010000}"/>
    <cellStyle name="Normal 12 3 4" xfId="430" xr:uid="{00000000-0005-0000-0000-000056010000}"/>
    <cellStyle name="Normal 12 3 4 2" xfId="431" xr:uid="{00000000-0005-0000-0000-000057010000}"/>
    <cellStyle name="Normal 12 3 5" xfId="432" xr:uid="{00000000-0005-0000-0000-000058010000}"/>
    <cellStyle name="Normal 12 4" xfId="433" xr:uid="{00000000-0005-0000-0000-000059010000}"/>
    <cellStyle name="Normal 12 4 2" xfId="434" xr:uid="{00000000-0005-0000-0000-00005A010000}"/>
    <cellStyle name="Normal 12 4 2 2" xfId="435" xr:uid="{00000000-0005-0000-0000-00005B010000}"/>
    <cellStyle name="Normal 12 4 2 2 2" xfId="436" xr:uid="{00000000-0005-0000-0000-00005C010000}"/>
    <cellStyle name="Normal 12 4 2 3" xfId="437" xr:uid="{00000000-0005-0000-0000-00005D010000}"/>
    <cellStyle name="Normal 12 4 3" xfId="438" xr:uid="{00000000-0005-0000-0000-00005E010000}"/>
    <cellStyle name="Normal 12 4 3 2" xfId="439" xr:uid="{00000000-0005-0000-0000-00005F010000}"/>
    <cellStyle name="Normal 12 4 4" xfId="440" xr:uid="{00000000-0005-0000-0000-000060010000}"/>
    <cellStyle name="Normal 12 5" xfId="441" xr:uid="{00000000-0005-0000-0000-000061010000}"/>
    <cellStyle name="Normal 12 6" xfId="442" xr:uid="{00000000-0005-0000-0000-000062010000}"/>
    <cellStyle name="Normal 12 6 2" xfId="443" xr:uid="{00000000-0005-0000-0000-000063010000}"/>
    <cellStyle name="Normal 12 6 2 2" xfId="444" xr:uid="{00000000-0005-0000-0000-000064010000}"/>
    <cellStyle name="Normal 12 6 3" xfId="445" xr:uid="{00000000-0005-0000-0000-000065010000}"/>
    <cellStyle name="Normal 12 7" xfId="446" xr:uid="{00000000-0005-0000-0000-000066010000}"/>
    <cellStyle name="Normal 12 7 2" xfId="447" xr:uid="{00000000-0005-0000-0000-000067010000}"/>
    <cellStyle name="Normal 12 8" xfId="448" xr:uid="{00000000-0005-0000-0000-000068010000}"/>
    <cellStyle name="Normal 12 9" xfId="449" xr:uid="{00000000-0005-0000-0000-000069010000}"/>
    <cellStyle name="Normal 13" xfId="82" xr:uid="{00000000-0005-0000-0000-00006A010000}"/>
    <cellStyle name="Normal 13 2" xfId="450" xr:uid="{00000000-0005-0000-0000-00006B010000}"/>
    <cellStyle name="Normal 13 2 2" xfId="451" xr:uid="{00000000-0005-0000-0000-00006C010000}"/>
    <cellStyle name="Normal 13 2 2 2" xfId="452" xr:uid="{00000000-0005-0000-0000-00006D010000}"/>
    <cellStyle name="Normal 13 2 2 2 2" xfId="453" xr:uid="{00000000-0005-0000-0000-00006E010000}"/>
    <cellStyle name="Normal 13 2 2 2 2 2" xfId="454" xr:uid="{00000000-0005-0000-0000-00006F010000}"/>
    <cellStyle name="Normal 13 2 2 2 3" xfId="455" xr:uid="{00000000-0005-0000-0000-000070010000}"/>
    <cellStyle name="Normal 13 2 2 3" xfId="456" xr:uid="{00000000-0005-0000-0000-000071010000}"/>
    <cellStyle name="Normal 13 2 2 3 2" xfId="457" xr:uid="{00000000-0005-0000-0000-000072010000}"/>
    <cellStyle name="Normal 13 2 2 4" xfId="458" xr:uid="{00000000-0005-0000-0000-000073010000}"/>
    <cellStyle name="Normal 13 2 3" xfId="459" xr:uid="{00000000-0005-0000-0000-000074010000}"/>
    <cellStyle name="Normal 13 2 3 2" xfId="460" xr:uid="{00000000-0005-0000-0000-000075010000}"/>
    <cellStyle name="Normal 13 2 3 2 2" xfId="461" xr:uid="{00000000-0005-0000-0000-000076010000}"/>
    <cellStyle name="Normal 13 2 3 3" xfId="462" xr:uid="{00000000-0005-0000-0000-000077010000}"/>
    <cellStyle name="Normal 13 2 4" xfId="463" xr:uid="{00000000-0005-0000-0000-000078010000}"/>
    <cellStyle name="Normal 13 2 4 2" xfId="464" xr:uid="{00000000-0005-0000-0000-000079010000}"/>
    <cellStyle name="Normal 13 2 5" xfId="465" xr:uid="{00000000-0005-0000-0000-00007A010000}"/>
    <cellStyle name="Normal 13 3" xfId="466" xr:uid="{00000000-0005-0000-0000-00007B010000}"/>
    <cellStyle name="Normal 13 3 2" xfId="467" xr:uid="{00000000-0005-0000-0000-00007C010000}"/>
    <cellStyle name="Normal 13 3 2 2" xfId="468" xr:uid="{00000000-0005-0000-0000-00007D010000}"/>
    <cellStyle name="Normal 13 3 2 2 2" xfId="469" xr:uid="{00000000-0005-0000-0000-00007E010000}"/>
    <cellStyle name="Normal 13 3 2 3" xfId="470" xr:uid="{00000000-0005-0000-0000-00007F010000}"/>
    <cellStyle name="Normal 13 3 3" xfId="471" xr:uid="{00000000-0005-0000-0000-000080010000}"/>
    <cellStyle name="Normal 13 3 3 2" xfId="472" xr:uid="{00000000-0005-0000-0000-000081010000}"/>
    <cellStyle name="Normal 13 3 4" xfId="473" xr:uid="{00000000-0005-0000-0000-000082010000}"/>
    <cellStyle name="Normal 13 4" xfId="474" xr:uid="{00000000-0005-0000-0000-000083010000}"/>
    <cellStyle name="Normal 13 5" xfId="475" xr:uid="{00000000-0005-0000-0000-000084010000}"/>
    <cellStyle name="Normal 13 5 2" xfId="476" xr:uid="{00000000-0005-0000-0000-000085010000}"/>
    <cellStyle name="Normal 13 5 2 2" xfId="477" xr:uid="{00000000-0005-0000-0000-000086010000}"/>
    <cellStyle name="Normal 13 5 3" xfId="478" xr:uid="{00000000-0005-0000-0000-000087010000}"/>
    <cellStyle name="Normal 13 6" xfId="479" xr:uid="{00000000-0005-0000-0000-000088010000}"/>
    <cellStyle name="Normal 13 6 2" xfId="480" xr:uid="{00000000-0005-0000-0000-000089010000}"/>
    <cellStyle name="Normal 13 7" xfId="481" xr:uid="{00000000-0005-0000-0000-00008A010000}"/>
    <cellStyle name="Normal 13 8" xfId="482" xr:uid="{00000000-0005-0000-0000-00008B010000}"/>
    <cellStyle name="Normal 14" xfId="83" xr:uid="{00000000-0005-0000-0000-00008C010000}"/>
    <cellStyle name="Normal 14 2" xfId="483" xr:uid="{00000000-0005-0000-0000-00008D010000}"/>
    <cellStyle name="Normal 14 2 2" xfId="484" xr:uid="{00000000-0005-0000-0000-00008E010000}"/>
    <cellStyle name="Normal 14 2 2 2" xfId="485" xr:uid="{00000000-0005-0000-0000-00008F010000}"/>
    <cellStyle name="Normal 14 2 2 2 2" xfId="486" xr:uid="{00000000-0005-0000-0000-000090010000}"/>
    <cellStyle name="Normal 14 2 2 3" xfId="487" xr:uid="{00000000-0005-0000-0000-000091010000}"/>
    <cellStyle name="Normal 14 2 3" xfId="488" xr:uid="{00000000-0005-0000-0000-000092010000}"/>
    <cellStyle name="Normal 14 2 3 2" xfId="489" xr:uid="{00000000-0005-0000-0000-000093010000}"/>
    <cellStyle name="Normal 14 2 4" xfId="490" xr:uid="{00000000-0005-0000-0000-000094010000}"/>
    <cellStyle name="Normal 14 3" xfId="491" xr:uid="{00000000-0005-0000-0000-000095010000}"/>
    <cellStyle name="Normal 14 4" xfId="492" xr:uid="{00000000-0005-0000-0000-000096010000}"/>
    <cellStyle name="Normal 14 4 2" xfId="493" xr:uid="{00000000-0005-0000-0000-000097010000}"/>
    <cellStyle name="Normal 14 4 2 2" xfId="494" xr:uid="{00000000-0005-0000-0000-000098010000}"/>
    <cellStyle name="Normal 14 4 3" xfId="495" xr:uid="{00000000-0005-0000-0000-000099010000}"/>
    <cellStyle name="Normal 14 5" xfId="496" xr:uid="{00000000-0005-0000-0000-00009A010000}"/>
    <cellStyle name="Normal 14 5 2" xfId="497" xr:uid="{00000000-0005-0000-0000-00009B010000}"/>
    <cellStyle name="Normal 14 6" xfId="498" xr:uid="{00000000-0005-0000-0000-00009C010000}"/>
    <cellStyle name="Normal 14 7" xfId="499" xr:uid="{00000000-0005-0000-0000-00009D010000}"/>
    <cellStyle name="Normal 15" xfId="84" xr:uid="{00000000-0005-0000-0000-00009E010000}"/>
    <cellStyle name="Normal 15 2" xfId="86" xr:uid="{00000000-0005-0000-0000-00009F010000}"/>
    <cellStyle name="Normal 15 2 2" xfId="502" xr:uid="{00000000-0005-0000-0000-0000A0010000}"/>
    <cellStyle name="Normal 15 2 2 2" xfId="727" xr:uid="{00000000-0005-0000-0000-0000A1010000}"/>
    <cellStyle name="Normal 15 2 3" xfId="501" xr:uid="{00000000-0005-0000-0000-0000A2010000}"/>
    <cellStyle name="Normal 15 2 4" xfId="726" xr:uid="{00000000-0005-0000-0000-0000A3010000}"/>
    <cellStyle name="Normal 15 3" xfId="87" xr:uid="{00000000-0005-0000-0000-0000A4010000}"/>
    <cellStyle name="Normal 15 3 2" xfId="504" xr:uid="{00000000-0005-0000-0000-0000A5010000}"/>
    <cellStyle name="Normal 15 3 2 2" xfId="729" xr:uid="{00000000-0005-0000-0000-0000A6010000}"/>
    <cellStyle name="Normal 15 3 3" xfId="503" xr:uid="{00000000-0005-0000-0000-0000A7010000}"/>
    <cellStyle name="Normal 15 3 4" xfId="728" xr:uid="{00000000-0005-0000-0000-0000A8010000}"/>
    <cellStyle name="Normal 15 4" xfId="505" xr:uid="{00000000-0005-0000-0000-0000A9010000}"/>
    <cellStyle name="Normal 15 5" xfId="500" xr:uid="{00000000-0005-0000-0000-0000AA010000}"/>
    <cellStyle name="Normal 15 6" xfId="725" xr:uid="{00000000-0005-0000-0000-0000AB010000}"/>
    <cellStyle name="Normal 15 7" xfId="835" xr:uid="{00000000-0005-0000-0000-0000AC010000}"/>
    <cellStyle name="Normal 16" xfId="88" xr:uid="{00000000-0005-0000-0000-0000AD010000}"/>
    <cellStyle name="Normal 17" xfId="90" xr:uid="{00000000-0005-0000-0000-0000AE010000}"/>
    <cellStyle name="Normal 18" xfId="92" xr:uid="{00000000-0005-0000-0000-0000AF010000}"/>
    <cellStyle name="Normal 19" xfId="95" xr:uid="{00000000-0005-0000-0000-0000B0010000}"/>
    <cellStyle name="Normal 19 2" xfId="97" xr:uid="{00000000-0005-0000-0000-0000B1010000}"/>
    <cellStyle name="Normal 19 3" xfId="100" xr:uid="{00000000-0005-0000-0000-0000B2010000}"/>
    <cellStyle name="Normal 2" xfId="6" xr:uid="{00000000-0005-0000-0000-0000B3010000}"/>
    <cellStyle name="Normal 2 10" xfId="2" xr:uid="{00000000-0005-0000-0000-0000B4010000}"/>
    <cellStyle name="Normal 2 10 2" xfId="103" xr:uid="{00000000-0005-0000-0000-0000B5010000}"/>
    <cellStyle name="Normal 2 10 2 3" xfId="825" xr:uid="{00000000-0005-0000-0000-0000B6010000}"/>
    <cellStyle name="Normal 2 11" xfId="104" xr:uid="{00000000-0005-0000-0000-0000B7010000}"/>
    <cellStyle name="Normal 2 12" xfId="105" xr:uid="{00000000-0005-0000-0000-0000B8010000}"/>
    <cellStyle name="Normal 2 13" xfId="106" xr:uid="{00000000-0005-0000-0000-0000B9010000}"/>
    <cellStyle name="Normal 2 14" xfId="23" xr:uid="{00000000-0005-0000-0000-0000BA010000}"/>
    <cellStyle name="Normal 2 15" xfId="107" xr:uid="{00000000-0005-0000-0000-0000BB010000}"/>
    <cellStyle name="Normal 2 16" xfId="109" xr:uid="{00000000-0005-0000-0000-0000BC010000}"/>
    <cellStyle name="Normal 2 17" xfId="111" xr:uid="{00000000-0005-0000-0000-0000BD010000}"/>
    <cellStyle name="Normal 2 18" xfId="113" xr:uid="{00000000-0005-0000-0000-0000BE010000}"/>
    <cellStyle name="Normal 2 19" xfId="115" xr:uid="{00000000-0005-0000-0000-0000BF010000}"/>
    <cellStyle name="Normal 2 2" xfId="117" xr:uid="{00000000-0005-0000-0000-0000C0010000}"/>
    <cellStyle name="Normal 2 2 2" xfId="118" xr:uid="{00000000-0005-0000-0000-0000C1010000}"/>
    <cellStyle name="Normal 2 2 2 2" xfId="814" xr:uid="{00000000-0005-0000-0000-0000C2010000}"/>
    <cellStyle name="Normal 2 2 3" xfId="119" xr:uid="{00000000-0005-0000-0000-0000C3010000}"/>
    <cellStyle name="Normal 2 2 4" xfId="120" xr:uid="{00000000-0005-0000-0000-0000C4010000}"/>
    <cellStyle name="Normal 2 2 5" xfId="121" xr:uid="{00000000-0005-0000-0000-0000C5010000}"/>
    <cellStyle name="Normal 2 2 6" xfId="506" xr:uid="{00000000-0005-0000-0000-0000C6010000}"/>
    <cellStyle name="Normal 2 2 6 3" xfId="826" xr:uid="{00000000-0005-0000-0000-0000C7010000}"/>
    <cellStyle name="Normal 2 20" xfId="108" xr:uid="{00000000-0005-0000-0000-0000C8010000}"/>
    <cellStyle name="Normal 2 21" xfId="110" xr:uid="{00000000-0005-0000-0000-0000C9010000}"/>
    <cellStyle name="Normal 2 22" xfId="112" xr:uid="{00000000-0005-0000-0000-0000CA010000}"/>
    <cellStyle name="Normal 2 23" xfId="114" xr:uid="{00000000-0005-0000-0000-0000CB010000}"/>
    <cellStyle name="Normal 2 24" xfId="116" xr:uid="{00000000-0005-0000-0000-0000CC010000}"/>
    <cellStyle name="Normal 2 25" xfId="122" xr:uid="{00000000-0005-0000-0000-0000CD010000}"/>
    <cellStyle name="Normal 2 26" xfId="35" xr:uid="{00000000-0005-0000-0000-0000CE010000}"/>
    <cellStyle name="Normal 2 27" xfId="123" xr:uid="{00000000-0005-0000-0000-0000CF010000}"/>
    <cellStyle name="Normal 2 27 2" xfId="507" xr:uid="{00000000-0005-0000-0000-0000D0010000}"/>
    <cellStyle name="Normal 2 28" xfId="124" xr:uid="{00000000-0005-0000-0000-0000D1010000}"/>
    <cellStyle name="Normal 2 29" xfId="508" xr:uid="{00000000-0005-0000-0000-0000D2010000}"/>
    <cellStyle name="Normal 2 3" xfId="125" xr:uid="{00000000-0005-0000-0000-0000D3010000}"/>
    <cellStyle name="Normal 2 3 2" xfId="126" xr:uid="{00000000-0005-0000-0000-0000D4010000}"/>
    <cellStyle name="Normal 2 3 2 2" xfId="93" xr:uid="{00000000-0005-0000-0000-0000D5010000}"/>
    <cellStyle name="Normal 2 3 2 2 2" xfId="509" xr:uid="{00000000-0005-0000-0000-0000D6010000}"/>
    <cellStyle name="Normal 2 3 2 2 2 2" xfId="510" xr:uid="{00000000-0005-0000-0000-0000D7010000}"/>
    <cellStyle name="Normal 2 3 2 2 2 2 2" xfId="511" xr:uid="{00000000-0005-0000-0000-0000D8010000}"/>
    <cellStyle name="Normal 2 3 2 2 2 2 2 2" xfId="512" xr:uid="{00000000-0005-0000-0000-0000D9010000}"/>
    <cellStyle name="Normal 2 3 2 2 2 2 2 2 2" xfId="513" xr:uid="{00000000-0005-0000-0000-0000DA010000}"/>
    <cellStyle name="Normal 2 3 2 2 2 2 2 3" xfId="514" xr:uid="{00000000-0005-0000-0000-0000DB010000}"/>
    <cellStyle name="Normal 2 3 2 2 2 2 3" xfId="515" xr:uid="{00000000-0005-0000-0000-0000DC010000}"/>
    <cellStyle name="Normal 2 3 2 2 2 2 3 2" xfId="516" xr:uid="{00000000-0005-0000-0000-0000DD010000}"/>
    <cellStyle name="Normal 2 3 2 2 2 2 4" xfId="517" xr:uid="{00000000-0005-0000-0000-0000DE010000}"/>
    <cellStyle name="Normal 2 3 2 2 2 3" xfId="518" xr:uid="{00000000-0005-0000-0000-0000DF010000}"/>
    <cellStyle name="Normal 2 3 2 2 2 3 2" xfId="519" xr:uid="{00000000-0005-0000-0000-0000E0010000}"/>
    <cellStyle name="Normal 2 3 2 2 2 3 2 2" xfId="520" xr:uid="{00000000-0005-0000-0000-0000E1010000}"/>
    <cellStyle name="Normal 2 3 2 2 2 3 3" xfId="521" xr:uid="{00000000-0005-0000-0000-0000E2010000}"/>
    <cellStyle name="Normal 2 3 2 2 2 4" xfId="522" xr:uid="{00000000-0005-0000-0000-0000E3010000}"/>
    <cellStyle name="Normal 2 3 2 2 2 4 2" xfId="523" xr:uid="{00000000-0005-0000-0000-0000E4010000}"/>
    <cellStyle name="Normal 2 3 2 2 2 5" xfId="524" xr:uid="{00000000-0005-0000-0000-0000E5010000}"/>
    <cellStyle name="Normal 2 3 2 2 3" xfId="525" xr:uid="{00000000-0005-0000-0000-0000E6010000}"/>
    <cellStyle name="Normal 2 3 2 2 3 2" xfId="526" xr:uid="{00000000-0005-0000-0000-0000E7010000}"/>
    <cellStyle name="Normal 2 3 2 2 3 2 2" xfId="527" xr:uid="{00000000-0005-0000-0000-0000E8010000}"/>
    <cellStyle name="Normal 2 3 2 2 3 2 2 2" xfId="528" xr:uid="{00000000-0005-0000-0000-0000E9010000}"/>
    <cellStyle name="Normal 2 3 2 2 3 2 3" xfId="529" xr:uid="{00000000-0005-0000-0000-0000EA010000}"/>
    <cellStyle name="Normal 2 3 2 2 3 3" xfId="530" xr:uid="{00000000-0005-0000-0000-0000EB010000}"/>
    <cellStyle name="Normal 2 3 2 2 3 3 2" xfId="531" xr:uid="{00000000-0005-0000-0000-0000EC010000}"/>
    <cellStyle name="Normal 2 3 2 2 3 4" xfId="532" xr:uid="{00000000-0005-0000-0000-0000ED010000}"/>
    <cellStyle name="Normal 2 3 2 2 4" xfId="533" xr:uid="{00000000-0005-0000-0000-0000EE010000}"/>
    <cellStyle name="Normal 2 3 2 2 4 2 2" xfId="844" xr:uid="{D5D0C65C-3524-4EF0-9610-1573109756B3}"/>
    <cellStyle name="Normal 2 3 2 2 5" xfId="534" xr:uid="{00000000-0005-0000-0000-0000EF010000}"/>
    <cellStyle name="Normal 2 3 2 2 5 2" xfId="535" xr:uid="{00000000-0005-0000-0000-0000F0010000}"/>
    <cellStyle name="Normal 2 3 2 2 5 2 2" xfId="536" xr:uid="{00000000-0005-0000-0000-0000F1010000}"/>
    <cellStyle name="Normal 2 3 2 2 5 3" xfId="537" xr:uid="{00000000-0005-0000-0000-0000F2010000}"/>
    <cellStyle name="Normal 2 3 2 2 6" xfId="538" xr:uid="{00000000-0005-0000-0000-0000F3010000}"/>
    <cellStyle name="Normal 2 3 2 2 6 2" xfId="539" xr:uid="{00000000-0005-0000-0000-0000F4010000}"/>
    <cellStyle name="Normal 2 3 2 2 7" xfId="540" xr:uid="{00000000-0005-0000-0000-0000F5010000}"/>
    <cellStyle name="Normal 2 3 2 2 8" xfId="541" xr:uid="{00000000-0005-0000-0000-0000F6010000}"/>
    <cellStyle name="Normal 2 3 2 3" xfId="542" xr:uid="{00000000-0005-0000-0000-0000F7010000}"/>
    <cellStyle name="Normal 2 3 2 3 2" xfId="543" xr:uid="{00000000-0005-0000-0000-0000F8010000}"/>
    <cellStyle name="Normal 2 3 2 3 2 2" xfId="544" xr:uid="{00000000-0005-0000-0000-0000F9010000}"/>
    <cellStyle name="Normal 2 3 2 3 2 2 2" xfId="545" xr:uid="{00000000-0005-0000-0000-0000FA010000}"/>
    <cellStyle name="Normal 2 3 2 3 2 2 2 2" xfId="546" xr:uid="{00000000-0005-0000-0000-0000FB010000}"/>
    <cellStyle name="Normal 2 3 2 3 2 2 3" xfId="547" xr:uid="{00000000-0005-0000-0000-0000FC010000}"/>
    <cellStyle name="Normal 2 3 2 3 2 3" xfId="548" xr:uid="{00000000-0005-0000-0000-0000FD010000}"/>
    <cellStyle name="Normal 2 3 2 3 2 3 2" xfId="549" xr:uid="{00000000-0005-0000-0000-0000FE010000}"/>
    <cellStyle name="Normal 2 3 2 3 2 4" xfId="550" xr:uid="{00000000-0005-0000-0000-0000FF010000}"/>
    <cellStyle name="Normal 2 3 2 3 3" xfId="551" xr:uid="{00000000-0005-0000-0000-000000020000}"/>
    <cellStyle name="Normal 2 3 2 3 3 2" xfId="552" xr:uid="{00000000-0005-0000-0000-000001020000}"/>
    <cellStyle name="Normal 2 3 2 3 3 2 2" xfId="553" xr:uid="{00000000-0005-0000-0000-000002020000}"/>
    <cellStyle name="Normal 2 3 2 3 3 3" xfId="554" xr:uid="{00000000-0005-0000-0000-000003020000}"/>
    <cellStyle name="Normal 2 3 2 3 4" xfId="555" xr:uid="{00000000-0005-0000-0000-000004020000}"/>
    <cellStyle name="Normal 2 3 2 3 4 2" xfId="556" xr:uid="{00000000-0005-0000-0000-000005020000}"/>
    <cellStyle name="Normal 2 3 2 3 5" xfId="557" xr:uid="{00000000-0005-0000-0000-000006020000}"/>
    <cellStyle name="Normal 2 3 2 4" xfId="558" xr:uid="{00000000-0005-0000-0000-000007020000}"/>
    <cellStyle name="Normal 2 3 2 4 2" xfId="559" xr:uid="{00000000-0005-0000-0000-000008020000}"/>
    <cellStyle name="Normal 2 3 2 4 2 2" xfId="560" xr:uid="{00000000-0005-0000-0000-000009020000}"/>
    <cellStyle name="Normal 2 3 2 4 2 2 2" xfId="561" xr:uid="{00000000-0005-0000-0000-00000A020000}"/>
    <cellStyle name="Normal 2 3 2 4 2 3" xfId="562" xr:uid="{00000000-0005-0000-0000-00000B020000}"/>
    <cellStyle name="Normal 2 3 2 4 3" xfId="563" xr:uid="{00000000-0005-0000-0000-00000C020000}"/>
    <cellStyle name="Normal 2 3 2 4 3 2" xfId="564" xr:uid="{00000000-0005-0000-0000-00000D020000}"/>
    <cellStyle name="Normal 2 3 2 4 4" xfId="565" xr:uid="{00000000-0005-0000-0000-00000E020000}"/>
    <cellStyle name="Normal 2 3 2 5" xfId="566" xr:uid="{00000000-0005-0000-0000-00000F020000}"/>
    <cellStyle name="Normal 2 3 2 6" xfId="567" xr:uid="{00000000-0005-0000-0000-000010020000}"/>
    <cellStyle name="Normal 2 3 2 6 2" xfId="568" xr:uid="{00000000-0005-0000-0000-000011020000}"/>
    <cellStyle name="Normal 2 3 2 6 2 2" xfId="569" xr:uid="{00000000-0005-0000-0000-000012020000}"/>
    <cellStyle name="Normal 2 3 2 6 3" xfId="570" xr:uid="{00000000-0005-0000-0000-000013020000}"/>
    <cellStyle name="Normal 2 3 2 7" xfId="571" xr:uid="{00000000-0005-0000-0000-000014020000}"/>
    <cellStyle name="Normal 2 3 2 7 2" xfId="572" xr:uid="{00000000-0005-0000-0000-000015020000}"/>
    <cellStyle name="Normal 2 3 2 8" xfId="573" xr:uid="{00000000-0005-0000-0000-000016020000}"/>
    <cellStyle name="Normal 2 3 2 9" xfId="574" xr:uid="{00000000-0005-0000-0000-000017020000}"/>
    <cellStyle name="Normal 2 3 3" xfId="127" xr:uid="{00000000-0005-0000-0000-000018020000}"/>
    <cellStyle name="Normal 2 3 3 2" xfId="128" xr:uid="{00000000-0005-0000-0000-000019020000}"/>
    <cellStyle name="Normal 2 3 3 3" xfId="102" xr:uid="{00000000-0005-0000-0000-00001A020000}"/>
    <cellStyle name="Normal 2 3 4" xfId="129" xr:uid="{00000000-0005-0000-0000-00001B020000}"/>
    <cellStyle name="Normal 2 3 5" xfId="101" xr:uid="{00000000-0005-0000-0000-00001C020000}"/>
    <cellStyle name="Normal 2 3 6" xfId="575" xr:uid="{00000000-0005-0000-0000-00001D020000}"/>
    <cellStyle name="Normal 2 3 7" xfId="576" xr:uid="{00000000-0005-0000-0000-00001E020000}"/>
    <cellStyle name="Normal 2 4" xfId="130" xr:uid="{00000000-0005-0000-0000-00001F020000}"/>
    <cellStyle name="Normal 2 4 2" xfId="131" xr:uid="{00000000-0005-0000-0000-000020020000}"/>
    <cellStyle name="Normal 2 4 2 2" xfId="132" xr:uid="{00000000-0005-0000-0000-000021020000}"/>
    <cellStyle name="Normal 2 4 3" xfId="133" xr:uid="{00000000-0005-0000-0000-000022020000}"/>
    <cellStyle name="Normal 2 5" xfId="134" xr:uid="{00000000-0005-0000-0000-000023020000}"/>
    <cellStyle name="Normal 2 5 2" xfId="135" xr:uid="{00000000-0005-0000-0000-000024020000}"/>
    <cellStyle name="Normal 2 6" xfId="5" xr:uid="{00000000-0005-0000-0000-000025020000}"/>
    <cellStyle name="Normal 2 6 2" xfId="136" xr:uid="{00000000-0005-0000-0000-000026020000}"/>
    <cellStyle name="Normal 2 7" xfId="137" xr:uid="{00000000-0005-0000-0000-000027020000}"/>
    <cellStyle name="Normal 2 8" xfId="138" xr:uid="{00000000-0005-0000-0000-000028020000}"/>
    <cellStyle name="Normal 2 9" xfId="139" xr:uid="{00000000-0005-0000-0000-000029020000}"/>
    <cellStyle name="Normal 20" xfId="85" xr:uid="{00000000-0005-0000-0000-00002A020000}"/>
    <cellStyle name="Normal 21" xfId="89" xr:uid="{00000000-0005-0000-0000-00002B020000}"/>
    <cellStyle name="Normal 21 2" xfId="140" xr:uid="{00000000-0005-0000-0000-00002C020000}"/>
    <cellStyle name="Normal 21 3" xfId="141" xr:uid="{00000000-0005-0000-0000-00002D020000}"/>
    <cellStyle name="Normal 21 3 2" xfId="579" xr:uid="{00000000-0005-0000-0000-00002E020000}"/>
    <cellStyle name="Normal 21 3 2 2" xfId="732" xr:uid="{00000000-0005-0000-0000-00002F020000}"/>
    <cellStyle name="Normal 21 3 3" xfId="578" xr:uid="{00000000-0005-0000-0000-000030020000}"/>
    <cellStyle name="Normal 21 3 4" xfId="731" xr:uid="{00000000-0005-0000-0000-000031020000}"/>
    <cellStyle name="Normal 21 4" xfId="580" xr:uid="{00000000-0005-0000-0000-000032020000}"/>
    <cellStyle name="Normal 21 4 2" xfId="581" xr:uid="{00000000-0005-0000-0000-000033020000}"/>
    <cellStyle name="Normal 21 4 2 2" xfId="734" xr:uid="{00000000-0005-0000-0000-000034020000}"/>
    <cellStyle name="Normal 21 4 3" xfId="733" xr:uid="{00000000-0005-0000-0000-000035020000}"/>
    <cellStyle name="Normal 21 5" xfId="577" xr:uid="{00000000-0005-0000-0000-000036020000}"/>
    <cellStyle name="Normal 21 6" xfId="730" xr:uid="{00000000-0005-0000-0000-000037020000}"/>
    <cellStyle name="Normal 22" xfId="91" xr:uid="{00000000-0005-0000-0000-000038020000}"/>
    <cellStyle name="Normal 23" xfId="94" xr:uid="{00000000-0005-0000-0000-000039020000}"/>
    <cellStyle name="Normal 24" xfId="96" xr:uid="{00000000-0005-0000-0000-00003A020000}"/>
    <cellStyle name="Normal 24 2" xfId="98" xr:uid="{00000000-0005-0000-0000-00003B020000}"/>
    <cellStyle name="Normal 24 2 2" xfId="584" xr:uid="{00000000-0005-0000-0000-00003C020000}"/>
    <cellStyle name="Normal 24 2 2 2" xfId="737" xr:uid="{00000000-0005-0000-0000-00003D020000}"/>
    <cellStyle name="Normal 24 2 3" xfId="583" xr:uid="{00000000-0005-0000-0000-00003E020000}"/>
    <cellStyle name="Normal 24 2 4" xfId="736" xr:uid="{00000000-0005-0000-0000-00003F020000}"/>
    <cellStyle name="Normal 24 3" xfId="585" xr:uid="{00000000-0005-0000-0000-000040020000}"/>
    <cellStyle name="Normal 24 3 2" xfId="586" xr:uid="{00000000-0005-0000-0000-000041020000}"/>
    <cellStyle name="Normal 24 3 2 2" xfId="739" xr:uid="{00000000-0005-0000-0000-000042020000}"/>
    <cellStyle name="Normal 24 3 3" xfId="738" xr:uid="{00000000-0005-0000-0000-000043020000}"/>
    <cellStyle name="Normal 24 4" xfId="587" xr:uid="{00000000-0005-0000-0000-000044020000}"/>
    <cellStyle name="Normal 24 5" xfId="582" xr:uid="{00000000-0005-0000-0000-000045020000}"/>
    <cellStyle name="Normal 24 6" xfId="735" xr:uid="{00000000-0005-0000-0000-000046020000}"/>
    <cellStyle name="Normal 25" xfId="142" xr:uid="{00000000-0005-0000-0000-000047020000}"/>
    <cellStyle name="Normal 25 2" xfId="589" xr:uid="{00000000-0005-0000-0000-000048020000}"/>
    <cellStyle name="Normal 25 2 2" xfId="590" xr:uid="{00000000-0005-0000-0000-000049020000}"/>
    <cellStyle name="Normal 25 2 2 2" xfId="591" xr:uid="{00000000-0005-0000-0000-00004A020000}"/>
    <cellStyle name="Normal 25 2 3" xfId="592" xr:uid="{00000000-0005-0000-0000-00004B020000}"/>
    <cellStyle name="Normal 25 3" xfId="593" xr:uid="{00000000-0005-0000-0000-00004C020000}"/>
    <cellStyle name="Normal 25 3 2" xfId="594" xr:uid="{00000000-0005-0000-0000-00004D020000}"/>
    <cellStyle name="Normal 25 4" xfId="595" xr:uid="{00000000-0005-0000-0000-00004E020000}"/>
    <cellStyle name="Normal 25 5" xfId="596" xr:uid="{00000000-0005-0000-0000-00004F020000}"/>
    <cellStyle name="Normal 25 6" xfId="588" xr:uid="{00000000-0005-0000-0000-000050020000}"/>
    <cellStyle name="Normal 25 7" xfId="740" xr:uid="{00000000-0005-0000-0000-000051020000}"/>
    <cellStyle name="Normal 26" xfId="143" xr:uid="{00000000-0005-0000-0000-000052020000}"/>
    <cellStyle name="Normal 26 2" xfId="598" xr:uid="{00000000-0005-0000-0000-000053020000}"/>
    <cellStyle name="Normal 26 2 2" xfId="742" xr:uid="{00000000-0005-0000-0000-000054020000}"/>
    <cellStyle name="Normal 26 3" xfId="597" xr:uid="{00000000-0005-0000-0000-000055020000}"/>
    <cellStyle name="Normal 26 4" xfId="741" xr:uid="{00000000-0005-0000-0000-000056020000}"/>
    <cellStyle name="Normal 27" xfId="145" xr:uid="{00000000-0005-0000-0000-000057020000}"/>
    <cellStyle name="Normal 28" xfId="599" xr:uid="{00000000-0005-0000-0000-000058020000}"/>
    <cellStyle name="Normal 28 2" xfId="600" xr:uid="{00000000-0005-0000-0000-000059020000}"/>
    <cellStyle name="Normal 28 2 2" xfId="601" xr:uid="{00000000-0005-0000-0000-00005A020000}"/>
    <cellStyle name="Normal 28 3" xfId="602" xr:uid="{00000000-0005-0000-0000-00005B020000}"/>
    <cellStyle name="Normal 29" xfId="810" xr:uid="{00000000-0005-0000-0000-00005C020000}"/>
    <cellStyle name="Normal 3" xfId="9" xr:uid="{00000000-0005-0000-0000-00005D020000}"/>
    <cellStyle name="Normal 3 10" xfId="18" xr:uid="{00000000-0005-0000-0000-00005E020000}"/>
    <cellStyle name="Normal 3 10 2" xfId="604" xr:uid="{00000000-0005-0000-0000-00005F020000}"/>
    <cellStyle name="Normal 3 10 3" xfId="744" xr:uid="{00000000-0005-0000-0000-000060020000}"/>
    <cellStyle name="Normal 3 11" xfId="15" xr:uid="{00000000-0005-0000-0000-000061020000}"/>
    <cellStyle name="Normal 3 11 2" xfId="605" xr:uid="{00000000-0005-0000-0000-000062020000}"/>
    <cellStyle name="Normal 3 11 3" xfId="745" xr:uid="{00000000-0005-0000-0000-000063020000}"/>
    <cellStyle name="Normal 3 12" xfId="20" xr:uid="{00000000-0005-0000-0000-000064020000}"/>
    <cellStyle name="Normal 3 12 2" xfId="606" xr:uid="{00000000-0005-0000-0000-000065020000}"/>
    <cellStyle name="Normal 3 12 3" xfId="746" xr:uid="{00000000-0005-0000-0000-000066020000}"/>
    <cellStyle name="Normal 3 13" xfId="22" xr:uid="{00000000-0005-0000-0000-000067020000}"/>
    <cellStyle name="Normal 3 13 2" xfId="607" xr:uid="{00000000-0005-0000-0000-000068020000}"/>
    <cellStyle name="Normal 3 13 3" xfId="747" xr:uid="{00000000-0005-0000-0000-000069020000}"/>
    <cellStyle name="Normal 3 14" xfId="148" xr:uid="{00000000-0005-0000-0000-00006A020000}"/>
    <cellStyle name="Normal 3 14 2" xfId="608" xr:uid="{00000000-0005-0000-0000-00006B020000}"/>
    <cellStyle name="Normal 3 15" xfId="147" xr:uid="{00000000-0005-0000-0000-00006C020000}"/>
    <cellStyle name="Normal 3 15 2" xfId="609" xr:uid="{00000000-0005-0000-0000-00006D020000}"/>
    <cellStyle name="Normal 3 16" xfId="603" xr:uid="{00000000-0005-0000-0000-00006E020000}"/>
    <cellStyle name="Normal 3 17" xfId="743" xr:uid="{00000000-0005-0000-0000-00006F020000}"/>
    <cellStyle name="Normal 3 2" xfId="150" xr:uid="{00000000-0005-0000-0000-000070020000}"/>
    <cellStyle name="Normal 3 2 10" xfId="151" xr:uid="{00000000-0005-0000-0000-000071020000}"/>
    <cellStyle name="Normal 3 2 11" xfId="152" xr:uid="{00000000-0005-0000-0000-000072020000}"/>
    <cellStyle name="Normal 3 2 12" xfId="153" xr:uid="{00000000-0005-0000-0000-000073020000}"/>
    <cellStyle name="Normal 3 2 12 2" xfId="610" xr:uid="{00000000-0005-0000-0000-000074020000}"/>
    <cellStyle name="Normal 3 2 12 3" xfId="748" xr:uid="{00000000-0005-0000-0000-000075020000}"/>
    <cellStyle name="Normal 3 2 2" xfId="154" xr:uid="{00000000-0005-0000-0000-000076020000}"/>
    <cellStyle name="Normal 3 2 3" xfId="155" xr:uid="{00000000-0005-0000-0000-000077020000}"/>
    <cellStyle name="Normal 3 2 4" xfId="156" xr:uid="{00000000-0005-0000-0000-000078020000}"/>
    <cellStyle name="Normal 3 2 5" xfId="157" xr:uid="{00000000-0005-0000-0000-000079020000}"/>
    <cellStyle name="Normal 3 2 6" xfId="158" xr:uid="{00000000-0005-0000-0000-00007A020000}"/>
    <cellStyle name="Normal 3 2 7" xfId="159" xr:uid="{00000000-0005-0000-0000-00007B020000}"/>
    <cellStyle name="Normal 3 2 8" xfId="160" xr:uid="{00000000-0005-0000-0000-00007C020000}"/>
    <cellStyle name="Normal 3 2 9" xfId="161" xr:uid="{00000000-0005-0000-0000-00007D020000}"/>
    <cellStyle name="Normal 3 3" xfId="162" xr:uid="{00000000-0005-0000-0000-00007E020000}"/>
    <cellStyle name="Normal 3 3 2" xfId="163" xr:uid="{00000000-0005-0000-0000-00007F020000}"/>
    <cellStyle name="Normal 3 3 2 2" xfId="164" xr:uid="{00000000-0005-0000-0000-000080020000}"/>
    <cellStyle name="Normal 3 3 2 2 2" xfId="614" xr:uid="{00000000-0005-0000-0000-000081020000}"/>
    <cellStyle name="Normal 3 3 2 2 2 2" xfId="752" xr:uid="{00000000-0005-0000-0000-000082020000}"/>
    <cellStyle name="Normal 3 3 2 2 3" xfId="613" xr:uid="{00000000-0005-0000-0000-000083020000}"/>
    <cellStyle name="Normal 3 3 2 2 4" xfId="751" xr:uid="{00000000-0005-0000-0000-000084020000}"/>
    <cellStyle name="Normal 3 3 2 3" xfId="165" xr:uid="{00000000-0005-0000-0000-000085020000}"/>
    <cellStyle name="Normal 3 3 2 3 2" xfId="615" xr:uid="{00000000-0005-0000-0000-000086020000}"/>
    <cellStyle name="Normal 3 3 2 3 3" xfId="753" xr:uid="{00000000-0005-0000-0000-000087020000}"/>
    <cellStyle name="Normal 3 3 2 4" xfId="612" xr:uid="{00000000-0005-0000-0000-000088020000}"/>
    <cellStyle name="Normal 3 3 2 5" xfId="750" xr:uid="{00000000-0005-0000-0000-000089020000}"/>
    <cellStyle name="Normal 3 3 3" xfId="166" xr:uid="{00000000-0005-0000-0000-00008A020000}"/>
    <cellStyle name="Normal 3 3 3 2" xfId="617" xr:uid="{00000000-0005-0000-0000-00008B020000}"/>
    <cellStyle name="Normal 3 3 3 2 2" xfId="755" xr:uid="{00000000-0005-0000-0000-00008C020000}"/>
    <cellStyle name="Normal 3 3 3 3" xfId="616" xr:uid="{00000000-0005-0000-0000-00008D020000}"/>
    <cellStyle name="Normal 3 3 3 4" xfId="754" xr:uid="{00000000-0005-0000-0000-00008E020000}"/>
    <cellStyle name="Normal 3 3 4" xfId="27" xr:uid="{00000000-0005-0000-0000-00008F020000}"/>
    <cellStyle name="Normal 3 3 4 2" xfId="618" xr:uid="{00000000-0005-0000-0000-000090020000}"/>
    <cellStyle name="Normal 3 3 4 3" xfId="756" xr:uid="{00000000-0005-0000-0000-000091020000}"/>
    <cellStyle name="Normal 3 3 5" xfId="611" xr:uid="{00000000-0005-0000-0000-000092020000}"/>
    <cellStyle name="Normal 3 3 6" xfId="749" xr:uid="{00000000-0005-0000-0000-000093020000}"/>
    <cellStyle name="Normal 3 4" xfId="167" xr:uid="{00000000-0005-0000-0000-000094020000}"/>
    <cellStyle name="Normal 3 5" xfId="168" xr:uid="{00000000-0005-0000-0000-000095020000}"/>
    <cellStyle name="Normal 3 5 2" xfId="169" xr:uid="{00000000-0005-0000-0000-000096020000}"/>
    <cellStyle name="Normal 3 5 2 2" xfId="621" xr:uid="{00000000-0005-0000-0000-000097020000}"/>
    <cellStyle name="Normal 3 5 2 2 2" xfId="759" xr:uid="{00000000-0005-0000-0000-000098020000}"/>
    <cellStyle name="Normal 3 5 2 3" xfId="620" xr:uid="{00000000-0005-0000-0000-000099020000}"/>
    <cellStyle name="Normal 3 5 2 4" xfId="758" xr:uid="{00000000-0005-0000-0000-00009A020000}"/>
    <cellStyle name="Normal 3 5 3" xfId="170" xr:uid="{00000000-0005-0000-0000-00009B020000}"/>
    <cellStyle name="Normal 3 5 3 2" xfId="622" xr:uid="{00000000-0005-0000-0000-00009C020000}"/>
    <cellStyle name="Normal 3 5 3 3" xfId="760" xr:uid="{00000000-0005-0000-0000-00009D020000}"/>
    <cellStyle name="Normal 3 5 4" xfId="619" xr:uid="{00000000-0005-0000-0000-00009E020000}"/>
    <cellStyle name="Normal 3 5 5" xfId="757" xr:uid="{00000000-0005-0000-0000-00009F020000}"/>
    <cellStyle name="Normal 3 6" xfId="171" xr:uid="{00000000-0005-0000-0000-0000A0020000}"/>
    <cellStyle name="Normal 3 6 2" xfId="172" xr:uid="{00000000-0005-0000-0000-0000A1020000}"/>
    <cellStyle name="Normal 3 6 2 2" xfId="624" xr:uid="{00000000-0005-0000-0000-0000A2020000}"/>
    <cellStyle name="Normal 3 6 2 3" xfId="762" xr:uid="{00000000-0005-0000-0000-0000A3020000}"/>
    <cellStyle name="Normal 3 6 3" xfId="623" xr:uid="{00000000-0005-0000-0000-0000A4020000}"/>
    <cellStyle name="Normal 3 6 4" xfId="761" xr:uid="{00000000-0005-0000-0000-0000A5020000}"/>
    <cellStyle name="Normal 3 7" xfId="173" xr:uid="{00000000-0005-0000-0000-0000A6020000}"/>
    <cellStyle name="Normal 3 7 2" xfId="625" xr:uid="{00000000-0005-0000-0000-0000A7020000}"/>
    <cellStyle name="Normal 3 7 3" xfId="763" xr:uid="{00000000-0005-0000-0000-0000A8020000}"/>
    <cellStyle name="Normal 3 8" xfId="174" xr:uid="{00000000-0005-0000-0000-0000A9020000}"/>
    <cellStyle name="Normal 3 8 2" xfId="626" xr:uid="{00000000-0005-0000-0000-0000AA020000}"/>
    <cellStyle name="Normal 3 8 3" xfId="764" xr:uid="{00000000-0005-0000-0000-0000AB020000}"/>
    <cellStyle name="Normal 3 9" xfId="175" xr:uid="{00000000-0005-0000-0000-0000AC020000}"/>
    <cellStyle name="Normal 3 9 2" xfId="627" xr:uid="{00000000-0005-0000-0000-0000AD020000}"/>
    <cellStyle name="Normal 3 9 3" xfId="765" xr:uid="{00000000-0005-0000-0000-0000AE020000}"/>
    <cellStyle name="Normal 30" xfId="819" xr:uid="{00000000-0005-0000-0000-0000AF020000}"/>
    <cellStyle name="Normal 30 2" xfId="838" xr:uid="{00000000-0005-0000-0000-0000B0020000}"/>
    <cellStyle name="Normal 31" xfId="144" xr:uid="{00000000-0005-0000-0000-0000B1020000}"/>
    <cellStyle name="Normal 31 2" xfId="176" xr:uid="{00000000-0005-0000-0000-0000B2020000}"/>
    <cellStyle name="Normal 31 2 2" xfId="628" xr:uid="{00000000-0005-0000-0000-0000B3020000}"/>
    <cellStyle name="Normal 32" xfId="146" xr:uid="{00000000-0005-0000-0000-0000B4020000}"/>
    <cellStyle name="Normal 33" xfId="177" xr:uid="{00000000-0005-0000-0000-0000B5020000}"/>
    <cellStyle name="Normal 34" xfId="821" xr:uid="{00000000-0005-0000-0000-0000B6020000}"/>
    <cellStyle name="Normal 35" xfId="834" xr:uid="{00000000-0005-0000-0000-0000B7020000}"/>
    <cellStyle name="Normal 36" xfId="841" xr:uid="{00000000-0005-0000-0000-0000B8020000}"/>
    <cellStyle name="Normal 4" xfId="178" xr:uid="{00000000-0005-0000-0000-0000B9020000}"/>
    <cellStyle name="Normal 4 10" xfId="179" xr:uid="{00000000-0005-0000-0000-0000BA020000}"/>
    <cellStyle name="Normal 4 11" xfId="181" xr:uid="{00000000-0005-0000-0000-0000BB020000}"/>
    <cellStyle name="Normal 4 12" xfId="183" xr:uid="{00000000-0005-0000-0000-0000BC020000}"/>
    <cellStyle name="Normal 4 13" xfId="185" xr:uid="{00000000-0005-0000-0000-0000BD020000}"/>
    <cellStyle name="Normal 4 14" xfId="187" xr:uid="{00000000-0005-0000-0000-0000BE020000}"/>
    <cellStyle name="Normal 4 14 2" xfId="629" xr:uid="{00000000-0005-0000-0000-0000BF020000}"/>
    <cellStyle name="Normal 4 15" xfId="630" xr:uid="{00000000-0005-0000-0000-0000C0020000}"/>
    <cellStyle name="Normal 4 2" xfId="189" xr:uid="{00000000-0005-0000-0000-0000C1020000}"/>
    <cellStyle name="Normal 4 3" xfId="190" xr:uid="{00000000-0005-0000-0000-0000C2020000}"/>
    <cellStyle name="Normal 4 4" xfId="191" xr:uid="{00000000-0005-0000-0000-0000C3020000}"/>
    <cellStyle name="Normal 4 4 2" xfId="631" xr:uid="{00000000-0005-0000-0000-0000C4020000}"/>
    <cellStyle name="Normal 4 4 2 2" xfId="632" xr:uid="{00000000-0005-0000-0000-0000C5020000}"/>
    <cellStyle name="Normal 4 4 2 2 2" xfId="633" xr:uid="{00000000-0005-0000-0000-0000C6020000}"/>
    <cellStyle name="Normal 4 4 2 2 2 2" xfId="634" xr:uid="{00000000-0005-0000-0000-0000C7020000}"/>
    <cellStyle name="Normal 4 4 2 2 2 2 2" xfId="635" xr:uid="{00000000-0005-0000-0000-0000C8020000}"/>
    <cellStyle name="Normal 4 4 2 2 2 3" xfId="636" xr:uid="{00000000-0005-0000-0000-0000C9020000}"/>
    <cellStyle name="Normal 4 4 2 2 3" xfId="637" xr:uid="{00000000-0005-0000-0000-0000CA020000}"/>
    <cellStyle name="Normal 4 4 2 2 3 2" xfId="638" xr:uid="{00000000-0005-0000-0000-0000CB020000}"/>
    <cellStyle name="Normal 4 4 2 2 4" xfId="639" xr:uid="{00000000-0005-0000-0000-0000CC020000}"/>
    <cellStyle name="Normal 4 4 2 3" xfId="640" xr:uid="{00000000-0005-0000-0000-0000CD020000}"/>
    <cellStyle name="Normal 4 4 2 3 2" xfId="641" xr:uid="{00000000-0005-0000-0000-0000CE020000}"/>
    <cellStyle name="Normal 4 4 2 3 2 2" xfId="642" xr:uid="{00000000-0005-0000-0000-0000CF020000}"/>
    <cellStyle name="Normal 4 4 2 3 3" xfId="643" xr:uid="{00000000-0005-0000-0000-0000D0020000}"/>
    <cellStyle name="Normal 4 4 2 4" xfId="644" xr:uid="{00000000-0005-0000-0000-0000D1020000}"/>
    <cellStyle name="Normal 4 4 2 4 2" xfId="645" xr:uid="{00000000-0005-0000-0000-0000D2020000}"/>
    <cellStyle name="Normal 4 4 2 5" xfId="646" xr:uid="{00000000-0005-0000-0000-0000D3020000}"/>
    <cellStyle name="Normal 4 4 3" xfId="647" xr:uid="{00000000-0005-0000-0000-0000D4020000}"/>
    <cellStyle name="Normal 4 4 3 2" xfId="648" xr:uid="{00000000-0005-0000-0000-0000D5020000}"/>
    <cellStyle name="Normal 4 4 3 2 2" xfId="649" xr:uid="{00000000-0005-0000-0000-0000D6020000}"/>
    <cellStyle name="Normal 4 4 3 2 2 2" xfId="650" xr:uid="{00000000-0005-0000-0000-0000D7020000}"/>
    <cellStyle name="Normal 4 4 3 2 3" xfId="651" xr:uid="{00000000-0005-0000-0000-0000D8020000}"/>
    <cellStyle name="Normal 4 4 3 3" xfId="652" xr:uid="{00000000-0005-0000-0000-0000D9020000}"/>
    <cellStyle name="Normal 4 4 3 3 2" xfId="653" xr:uid="{00000000-0005-0000-0000-0000DA020000}"/>
    <cellStyle name="Normal 4 4 3 4" xfId="654" xr:uid="{00000000-0005-0000-0000-0000DB020000}"/>
    <cellStyle name="Normal 4 4 4" xfId="655" xr:uid="{00000000-0005-0000-0000-0000DC020000}"/>
    <cellStyle name="Normal 4 4 4 2" xfId="656" xr:uid="{00000000-0005-0000-0000-0000DD020000}"/>
    <cellStyle name="Normal 4 4 4 2 2" xfId="657" xr:uid="{00000000-0005-0000-0000-0000DE020000}"/>
    <cellStyle name="Normal 4 4 4 2 2 2" xfId="658" xr:uid="{00000000-0005-0000-0000-0000DF020000}"/>
    <cellStyle name="Normal 4 4 4 2 3" xfId="659" xr:uid="{00000000-0005-0000-0000-0000E0020000}"/>
    <cellStyle name="Normal 4 4 4 3" xfId="660" xr:uid="{00000000-0005-0000-0000-0000E1020000}"/>
    <cellStyle name="Normal 4 4 4 3 2" xfId="661" xr:uid="{00000000-0005-0000-0000-0000E2020000}"/>
    <cellStyle name="Normal 4 4 4 4" xfId="662" xr:uid="{00000000-0005-0000-0000-0000E3020000}"/>
    <cellStyle name="Normal 4 4 5" xfId="663" xr:uid="{00000000-0005-0000-0000-0000E4020000}"/>
    <cellStyle name="Normal 4 4 5 2" xfId="664" xr:uid="{00000000-0005-0000-0000-0000E5020000}"/>
    <cellStyle name="Normal 4 4 5 2 2" xfId="665" xr:uid="{00000000-0005-0000-0000-0000E6020000}"/>
    <cellStyle name="Normal 4 4 5 2 2 2" xfId="666" xr:uid="{00000000-0005-0000-0000-0000E7020000}"/>
    <cellStyle name="Normal 4 4 5 2 3" xfId="667" xr:uid="{00000000-0005-0000-0000-0000E8020000}"/>
    <cellStyle name="Normal 4 4 5 3" xfId="668" xr:uid="{00000000-0005-0000-0000-0000E9020000}"/>
    <cellStyle name="Normal 4 4 5 3 2" xfId="669" xr:uid="{00000000-0005-0000-0000-0000EA020000}"/>
    <cellStyle name="Normal 4 4 5 4" xfId="670" xr:uid="{00000000-0005-0000-0000-0000EB020000}"/>
    <cellStyle name="Normal 4 4 6" xfId="671" xr:uid="{00000000-0005-0000-0000-0000EC020000}"/>
    <cellStyle name="Normal 4 4 6 2" xfId="672" xr:uid="{00000000-0005-0000-0000-0000ED020000}"/>
    <cellStyle name="Normal 4 4 6 2 2" xfId="673" xr:uid="{00000000-0005-0000-0000-0000EE020000}"/>
    <cellStyle name="Normal 4 4 6 2 2 2" xfId="674" xr:uid="{00000000-0005-0000-0000-0000EF020000}"/>
    <cellStyle name="Normal 4 4 6 2 3" xfId="675" xr:uid="{00000000-0005-0000-0000-0000F0020000}"/>
    <cellStyle name="Normal 4 4 6 3" xfId="676" xr:uid="{00000000-0005-0000-0000-0000F1020000}"/>
    <cellStyle name="Normal 4 4 6 3 2" xfId="677" xr:uid="{00000000-0005-0000-0000-0000F2020000}"/>
    <cellStyle name="Normal 4 4 6 4" xfId="678" xr:uid="{00000000-0005-0000-0000-0000F3020000}"/>
    <cellStyle name="Normal 4 4 7" xfId="679" xr:uid="{00000000-0005-0000-0000-0000F4020000}"/>
    <cellStyle name="Normal 4 4 7 2" xfId="680" xr:uid="{00000000-0005-0000-0000-0000F5020000}"/>
    <cellStyle name="Normal 4 4 7 2 2" xfId="681" xr:uid="{00000000-0005-0000-0000-0000F6020000}"/>
    <cellStyle name="Normal 4 4 7 3" xfId="682" xr:uid="{00000000-0005-0000-0000-0000F7020000}"/>
    <cellStyle name="Normal 4 4 8" xfId="683" xr:uid="{00000000-0005-0000-0000-0000F8020000}"/>
    <cellStyle name="Normal 4 4 8 2" xfId="684" xr:uid="{00000000-0005-0000-0000-0000F9020000}"/>
    <cellStyle name="Normal 4 4 9" xfId="685" xr:uid="{00000000-0005-0000-0000-0000FA020000}"/>
    <cellStyle name="Normal 4 5" xfId="192" xr:uid="{00000000-0005-0000-0000-0000FB020000}"/>
    <cellStyle name="Normal 4 6" xfId="193" xr:uid="{00000000-0005-0000-0000-0000FC020000}"/>
    <cellStyle name="Normal 4 7" xfId="194" xr:uid="{00000000-0005-0000-0000-0000FD020000}"/>
    <cellStyle name="Normal 4 8" xfId="195" xr:uid="{00000000-0005-0000-0000-0000FE020000}"/>
    <cellStyle name="Normal 4 9" xfId="196" xr:uid="{00000000-0005-0000-0000-0000FF020000}"/>
    <cellStyle name="Normal 43" xfId="839" xr:uid="{00000000-0005-0000-0000-000000030000}"/>
    <cellStyle name="Normal 44" xfId="812" xr:uid="{00000000-0005-0000-0000-000001030000}"/>
    <cellStyle name="Normal 44 2" xfId="813" xr:uid="{00000000-0005-0000-0000-000002030000}"/>
    <cellStyle name="Normal 44 2 2" xfId="836" xr:uid="{00000000-0005-0000-0000-000003030000}"/>
    <cellStyle name="Normal 5" xfId="180" xr:uid="{00000000-0005-0000-0000-000004030000}"/>
    <cellStyle name="Normal 5 10" xfId="28" xr:uid="{00000000-0005-0000-0000-000005030000}"/>
    <cellStyle name="Normal 5 11" xfId="29" xr:uid="{00000000-0005-0000-0000-000006030000}"/>
    <cellStyle name="Normal 5 12" xfId="197" xr:uid="{00000000-0005-0000-0000-000007030000}"/>
    <cellStyle name="Normal 5 13" xfId="686" xr:uid="{00000000-0005-0000-0000-000008030000}"/>
    <cellStyle name="Normal 5 2" xfId="198" xr:uid="{00000000-0005-0000-0000-000009030000}"/>
    <cellStyle name="Normal 5 3" xfId="17" xr:uid="{00000000-0005-0000-0000-00000A030000}"/>
    <cellStyle name="Normal 5 4" xfId="14" xr:uid="{00000000-0005-0000-0000-00000B030000}"/>
    <cellStyle name="Normal 5 5" xfId="19" xr:uid="{00000000-0005-0000-0000-00000C030000}"/>
    <cellStyle name="Normal 5 6" xfId="21" xr:uid="{00000000-0005-0000-0000-00000D030000}"/>
    <cellStyle name="Normal 5 7" xfId="149" xr:uid="{00000000-0005-0000-0000-00000E030000}"/>
    <cellStyle name="Normal 5 8" xfId="199" xr:uid="{00000000-0005-0000-0000-00000F030000}"/>
    <cellStyle name="Normal 5 9" xfId="200" xr:uid="{00000000-0005-0000-0000-000010030000}"/>
    <cellStyle name="Normal 50" xfId="50" xr:uid="{00000000-0005-0000-0000-000011030000}"/>
    <cellStyle name="Normal 6" xfId="182" xr:uid="{00000000-0005-0000-0000-000012030000}"/>
    <cellStyle name="Normal 6 10" xfId="201" xr:uid="{00000000-0005-0000-0000-000013030000}"/>
    <cellStyle name="Normal 6 11" xfId="202" xr:uid="{00000000-0005-0000-0000-000014030000}"/>
    <cellStyle name="Normal 6 12" xfId="203" xr:uid="{00000000-0005-0000-0000-000015030000}"/>
    <cellStyle name="Normal 6 13" xfId="687" xr:uid="{00000000-0005-0000-0000-000016030000}"/>
    <cellStyle name="Normal 6 2" xfId="204" xr:uid="{00000000-0005-0000-0000-000017030000}"/>
    <cellStyle name="Normal 6 3" xfId="16" xr:uid="{00000000-0005-0000-0000-000018030000}"/>
    <cellStyle name="Normal 6 4" xfId="205" xr:uid="{00000000-0005-0000-0000-000019030000}"/>
    <cellStyle name="Normal 6 5" xfId="206" xr:uid="{00000000-0005-0000-0000-00001A030000}"/>
    <cellStyle name="Normal 6 6" xfId="207" xr:uid="{00000000-0005-0000-0000-00001B030000}"/>
    <cellStyle name="Normal 6 7" xfId="208" xr:uid="{00000000-0005-0000-0000-00001C030000}"/>
    <cellStyle name="Normal 6 8" xfId="209" xr:uid="{00000000-0005-0000-0000-00001D030000}"/>
    <cellStyle name="Normal 6 9" xfId="210" xr:uid="{00000000-0005-0000-0000-00001E030000}"/>
    <cellStyle name="Normal 7" xfId="184" xr:uid="{00000000-0005-0000-0000-00001F030000}"/>
    <cellStyle name="Normal 7 10" xfId="211" xr:uid="{00000000-0005-0000-0000-000020030000}"/>
    <cellStyle name="Normal 7 11" xfId="72" xr:uid="{00000000-0005-0000-0000-000021030000}"/>
    <cellStyle name="Normal 7 12" xfId="688" xr:uid="{00000000-0005-0000-0000-000022030000}"/>
    <cellStyle name="Normal 7 2" xfId="12" xr:uid="{00000000-0005-0000-0000-000023030000}"/>
    <cellStyle name="Normal 7 2 2" xfId="689" xr:uid="{00000000-0005-0000-0000-000024030000}"/>
    <cellStyle name="Normal 7 2 3" xfId="690" xr:uid="{00000000-0005-0000-0000-000025030000}"/>
    <cellStyle name="Normal 7 3" xfId="212" xr:uid="{00000000-0005-0000-0000-000026030000}"/>
    <cellStyle name="Normal 7 4" xfId="213" xr:uid="{00000000-0005-0000-0000-000027030000}"/>
    <cellStyle name="Normal 7 5" xfId="214" xr:uid="{00000000-0005-0000-0000-000028030000}"/>
    <cellStyle name="Normal 7 6" xfId="215" xr:uid="{00000000-0005-0000-0000-000029030000}"/>
    <cellStyle name="Normal 7 7" xfId="216" xr:uid="{00000000-0005-0000-0000-00002A030000}"/>
    <cellStyle name="Normal 7 8" xfId="217" xr:uid="{00000000-0005-0000-0000-00002B030000}"/>
    <cellStyle name="Normal 7 9" xfId="218" xr:uid="{00000000-0005-0000-0000-00002C030000}"/>
    <cellStyle name="Normal 8" xfId="186" xr:uid="{00000000-0005-0000-0000-00002D030000}"/>
    <cellStyle name="Normal 8 2" xfId="691" xr:uid="{00000000-0005-0000-0000-00002E030000}"/>
    <cellStyle name="Normal 8 2 2" xfId="692" xr:uid="{00000000-0005-0000-0000-00002F030000}"/>
    <cellStyle name="Normal 8 3" xfId="693" xr:uid="{00000000-0005-0000-0000-000030030000}"/>
    <cellStyle name="Normal 8 4" xfId="694" xr:uid="{00000000-0005-0000-0000-000031030000}"/>
    <cellStyle name="Normal 9" xfId="188" xr:uid="{00000000-0005-0000-0000-000032030000}"/>
    <cellStyle name="Normal 9 2" xfId="695" xr:uid="{00000000-0005-0000-0000-000033030000}"/>
    <cellStyle name="Normal 9 2 2" xfId="696" xr:uid="{00000000-0005-0000-0000-000034030000}"/>
    <cellStyle name="Normal 9 3" xfId="697" xr:uid="{00000000-0005-0000-0000-000035030000}"/>
    <cellStyle name="Normal 9 4" xfId="698" xr:uid="{00000000-0005-0000-0000-000036030000}"/>
    <cellStyle name="Normal_Sheet1" xfId="3" xr:uid="{00000000-0005-0000-0000-000037030000}"/>
    <cellStyle name="Normal_Sheet1 2" xfId="4" xr:uid="{00000000-0005-0000-0000-000038030000}"/>
    <cellStyle name="Note 2" xfId="699" xr:uid="{00000000-0005-0000-0000-000039030000}"/>
    <cellStyle name="Note 2 2" xfId="700" xr:uid="{00000000-0005-0000-0000-00003A030000}"/>
    <cellStyle name="Note 3" xfId="701" xr:uid="{00000000-0005-0000-0000-00003B030000}"/>
    <cellStyle name="Note 3 2" xfId="702" xr:uid="{00000000-0005-0000-0000-00003C030000}"/>
    <cellStyle name="Percent 2" xfId="219" xr:uid="{00000000-0005-0000-0000-00003D030000}"/>
    <cellStyle name="Percent 2 2" xfId="220" xr:uid="{00000000-0005-0000-0000-00003E030000}"/>
    <cellStyle name="Percent 2 2 2" xfId="704" xr:uid="{00000000-0005-0000-0000-00003F030000}"/>
    <cellStyle name="Percent 2 3" xfId="705" xr:uid="{00000000-0005-0000-0000-000040030000}"/>
    <cellStyle name="Percent 2 4" xfId="703" xr:uid="{00000000-0005-0000-0000-000041030000}"/>
    <cellStyle name="S1" xfId="30" xr:uid="{00000000-0005-0000-0000-000042030000}"/>
    <cellStyle name="S2" xfId="24" xr:uid="{00000000-0005-0000-0000-000043030000}"/>
    <cellStyle name="S3" xfId="13" xr:uid="{00000000-0005-0000-0000-000044030000}"/>
    <cellStyle name="S4" xfId="31" xr:uid="{00000000-0005-0000-0000-000045030000}"/>
    <cellStyle name="S5" xfId="32" xr:uid="{00000000-0005-0000-0000-000046030000}"/>
    <cellStyle name="S6" xfId="221" xr:uid="{00000000-0005-0000-0000-000047030000}"/>
    <cellStyle name="S7" xfId="222" xr:uid="{00000000-0005-0000-0000-000048030000}"/>
    <cellStyle name="S7 2" xfId="706" xr:uid="{00000000-0005-0000-0000-000049030000}"/>
    <cellStyle name="Title 2" xfId="707" xr:uid="{00000000-0005-0000-0000-00004A030000}"/>
    <cellStyle name="Title 3" xfId="708" xr:uid="{00000000-0005-0000-0000-00004B030000}"/>
  </cellStyles>
  <dxfs count="25"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33CC"/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221166</xdr:colOff>
      <xdr:row>0</xdr:row>
      <xdr:rowOff>64584</xdr:rowOff>
    </xdr:from>
    <xdr:to>
      <xdr:col>2</xdr:col>
      <xdr:colOff>287841</xdr:colOff>
      <xdr:row>0</xdr:row>
      <xdr:rowOff>64584</xdr:rowOff>
    </xdr:to>
    <xdr:pic>
      <xdr:nvPicPr>
        <xdr:cNvPr id="2" name="Picture 7" descr="Logo ARK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166" y="64584"/>
          <a:ext cx="2657475" cy="0"/>
        </a:xfrm>
        <a:prstGeom prst="rect">
          <a:avLst/>
        </a:prstGeom>
        <a:solidFill>
          <a:srgbClr val="666699">
            <a:alpha val="96077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150662</xdr:colOff>
      <xdr:row>0</xdr:row>
      <xdr:rowOff>169080</xdr:rowOff>
    </xdr:from>
    <xdr:to>
      <xdr:col>19</xdr:col>
      <xdr:colOff>503464</xdr:colOff>
      <xdr:row>1</xdr:row>
      <xdr:rowOff>122464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212769" y="169080"/>
          <a:ext cx="7959195" cy="7425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200" b="1">
              <a:latin typeface="Arial" panose="020B0604020202020204" pitchFamily="34" charset="0"/>
              <a:cs typeface="Arial" panose="020B0604020202020204" pitchFamily="34" charset="0"/>
            </a:rPr>
            <a:t>ABSENSI</a:t>
          </a:r>
          <a:r>
            <a:rPr lang="en-US" sz="2200" b="1" baseline="0">
              <a:latin typeface="Arial" panose="020B0604020202020204" pitchFamily="34" charset="0"/>
              <a:cs typeface="Arial" panose="020B0604020202020204" pitchFamily="34" charset="0"/>
            </a:rPr>
            <a:t> KARYAWAN 01 - 30 JUNI 2026</a:t>
          </a:r>
        </a:p>
        <a:p>
          <a:pPr algn="ctr"/>
          <a:r>
            <a:rPr lang="id-ID" sz="22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2200" b="1" baseline="0">
              <a:latin typeface="Arial" panose="020B0604020202020204" pitchFamily="34" charset="0"/>
              <a:cs typeface="Arial" panose="020B0604020202020204" pitchFamily="34" charset="0"/>
            </a:rPr>
            <a:t>HO BALIKPAPAN</a:t>
          </a:r>
          <a:endParaRPr lang="en-US" sz="2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19050</xdr:rowOff>
    </xdr:from>
    <xdr:to>
      <xdr:col>2</xdr:col>
      <xdr:colOff>137162</xdr:colOff>
      <xdr:row>1</xdr:row>
      <xdr:rowOff>104775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2888166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06"/>
  <sheetViews>
    <sheetView tabSelected="1" zoomScale="90" zoomScaleNormal="90" zoomScaleSheetLayoutView="100" workbookViewId="0">
      <pane xSplit="4" ySplit="4" topLeftCell="AF62" activePane="bottomRight" state="frozen"/>
      <selection pane="topRight" activeCell="E1" sqref="E1"/>
      <selection pane="bottomLeft" activeCell="A5" sqref="A5"/>
      <selection pane="bottomRight" activeCell="AQ76" sqref="AQ76"/>
    </sheetView>
  </sheetViews>
  <sheetFormatPr defaultColWidth="5.7109375" defaultRowHeight="27.95" customHeight="1"/>
  <cols>
    <col min="1" max="1" width="8.28515625" style="7" customWidth="1"/>
    <col min="2" max="2" width="33.140625" style="7" customWidth="1"/>
    <col min="3" max="3" width="8.7109375" style="6" customWidth="1"/>
    <col min="4" max="4" width="36.28515625" style="7" customWidth="1"/>
    <col min="5" max="6" width="8.7109375" style="37" customWidth="1"/>
    <col min="7" max="11" width="8.7109375" style="7" customWidth="1"/>
    <col min="12" max="13" width="8.7109375" style="37" customWidth="1"/>
    <col min="14" max="15" width="8.7109375" style="7" customWidth="1"/>
    <col min="16" max="16" width="9.140625" style="7" customWidth="1"/>
    <col min="17" max="18" width="8.7109375" style="7" customWidth="1"/>
    <col min="19" max="20" width="8.7109375" style="34" customWidth="1"/>
    <col min="21" max="25" width="8.7109375" style="6" customWidth="1"/>
    <col min="26" max="27" width="8.7109375" style="34" customWidth="1"/>
    <col min="28" max="34" width="8.7109375" style="6" customWidth="1"/>
    <col min="35" max="35" width="7.140625" style="7" customWidth="1"/>
    <col min="36" max="36" width="19.42578125" style="7" customWidth="1"/>
    <col min="37" max="38" width="13.28515625" style="7" customWidth="1"/>
    <col min="39" max="39" width="12.7109375" style="7" bestFit="1" customWidth="1"/>
    <col min="40" max="40" width="5.5703125" style="1" customWidth="1"/>
    <col min="41" max="48" width="11.28515625" style="7" customWidth="1"/>
    <col min="49" max="49" width="5.7109375" style="7"/>
    <col min="50" max="50" width="58.140625" style="7" bestFit="1" customWidth="1"/>
    <col min="51" max="51" width="17.42578125" style="7" customWidth="1"/>
    <col min="52" max="16384" width="5.7109375" style="7"/>
  </cols>
  <sheetData>
    <row r="1" spans="1:48" ht="62.25" customHeight="1">
      <c r="A1" s="6"/>
      <c r="B1" s="6"/>
      <c r="D1" s="11"/>
      <c r="E1" s="34"/>
      <c r="F1" s="35"/>
      <c r="G1" s="6"/>
      <c r="H1" s="6"/>
      <c r="I1" s="6"/>
      <c r="J1" s="6"/>
      <c r="K1" s="6"/>
      <c r="M1" s="35"/>
      <c r="N1" s="6"/>
      <c r="O1" s="6"/>
      <c r="P1" s="6"/>
      <c r="Q1" s="6"/>
      <c r="R1" s="6"/>
      <c r="T1" s="35"/>
    </row>
    <row r="2" spans="1:48" ht="27.75" customHeight="1">
      <c r="A2" s="6"/>
      <c r="B2" s="6"/>
      <c r="D2" s="6"/>
      <c r="E2" s="34"/>
      <c r="F2" s="35"/>
      <c r="G2" s="6"/>
      <c r="H2" s="6"/>
      <c r="I2" s="6"/>
      <c r="J2" s="6"/>
      <c r="K2" s="6"/>
      <c r="L2" s="34"/>
      <c r="M2" s="35"/>
      <c r="N2" s="6"/>
      <c r="O2" s="6"/>
      <c r="P2" s="6"/>
      <c r="Q2" s="6"/>
      <c r="R2" s="6"/>
      <c r="T2" s="35"/>
    </row>
    <row r="3" spans="1:48" ht="20.100000000000001" customHeight="1">
      <c r="A3" s="72" t="s">
        <v>0</v>
      </c>
      <c r="B3" s="72" t="s">
        <v>1</v>
      </c>
      <c r="C3" s="72" t="s">
        <v>2</v>
      </c>
      <c r="D3" s="72" t="s">
        <v>3</v>
      </c>
      <c r="E3" s="73">
        <v>46174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O3" s="13"/>
      <c r="AP3" s="8"/>
      <c r="AQ3" s="8"/>
      <c r="AR3" s="8"/>
      <c r="AS3" s="8"/>
      <c r="AT3" s="8"/>
      <c r="AU3" s="8"/>
      <c r="AV3" s="8"/>
    </row>
    <row r="4" spans="1:48" ht="20.100000000000001" customHeight="1">
      <c r="A4" s="72"/>
      <c r="B4" s="72"/>
      <c r="C4" s="72"/>
      <c r="D4" s="72"/>
      <c r="E4" s="36">
        <v>46174</v>
      </c>
      <c r="F4" s="5">
        <v>46175</v>
      </c>
      <c r="G4" s="5">
        <v>46176</v>
      </c>
      <c r="H4" s="5">
        <v>46177</v>
      </c>
      <c r="I4" s="5">
        <v>46178</v>
      </c>
      <c r="J4" s="36">
        <v>46179</v>
      </c>
      <c r="K4" s="36">
        <v>46180</v>
      </c>
      <c r="L4" s="5">
        <v>46181</v>
      </c>
      <c r="M4" s="5">
        <v>46182</v>
      </c>
      <c r="N4" s="5">
        <v>46183</v>
      </c>
      <c r="O4" s="5">
        <v>46184</v>
      </c>
      <c r="P4" s="5">
        <v>46185</v>
      </c>
      <c r="Q4" s="36">
        <v>46186</v>
      </c>
      <c r="R4" s="36">
        <v>46187</v>
      </c>
      <c r="S4" s="5">
        <v>46188</v>
      </c>
      <c r="T4" s="36">
        <v>46189</v>
      </c>
      <c r="U4" s="5">
        <v>46190</v>
      </c>
      <c r="V4" s="5">
        <v>46191</v>
      </c>
      <c r="W4" s="5">
        <v>46192</v>
      </c>
      <c r="X4" s="36">
        <v>46193</v>
      </c>
      <c r="Y4" s="36">
        <v>46194</v>
      </c>
      <c r="Z4" s="5">
        <v>46195</v>
      </c>
      <c r="AA4" s="5">
        <v>46196</v>
      </c>
      <c r="AB4" s="5">
        <v>46197</v>
      </c>
      <c r="AC4" s="5">
        <v>46198</v>
      </c>
      <c r="AD4" s="5">
        <v>46199</v>
      </c>
      <c r="AE4" s="36">
        <v>46200</v>
      </c>
      <c r="AF4" s="36">
        <v>46201</v>
      </c>
      <c r="AG4" s="5">
        <v>46202</v>
      </c>
      <c r="AH4" s="5">
        <v>46203</v>
      </c>
      <c r="AJ4" s="49" t="s">
        <v>97</v>
      </c>
      <c r="AK4" s="14" t="s">
        <v>4</v>
      </c>
      <c r="AL4" s="14" t="s">
        <v>5</v>
      </c>
      <c r="AM4" s="14" t="s">
        <v>6</v>
      </c>
      <c r="AO4" s="15">
        <v>1901</v>
      </c>
      <c r="AP4" s="15">
        <v>1902</v>
      </c>
      <c r="AQ4" s="15">
        <v>1903</v>
      </c>
      <c r="AR4" s="15">
        <v>1904</v>
      </c>
      <c r="AS4" s="15">
        <v>1905</v>
      </c>
      <c r="AT4" s="15">
        <v>1906</v>
      </c>
      <c r="AU4" s="15" t="s">
        <v>124</v>
      </c>
      <c r="AV4" s="16" t="s">
        <v>6</v>
      </c>
    </row>
    <row r="5" spans="1:48" s="6" customFormat="1" ht="24.95" customHeight="1">
      <c r="A5" s="10">
        <v>1</v>
      </c>
      <c r="B5" s="4" t="s">
        <v>7</v>
      </c>
      <c r="C5" s="57">
        <v>10022</v>
      </c>
      <c r="D5" s="4" t="s">
        <v>129</v>
      </c>
      <c r="E5" s="12"/>
      <c r="F5" s="12" t="s">
        <v>147</v>
      </c>
      <c r="G5" s="12" t="s">
        <v>147</v>
      </c>
      <c r="H5" s="12" t="s">
        <v>147</v>
      </c>
      <c r="I5" s="12" t="s">
        <v>147</v>
      </c>
      <c r="J5" s="12"/>
      <c r="K5" s="12"/>
      <c r="L5" s="12" t="s">
        <v>147</v>
      </c>
      <c r="M5" s="12" t="s">
        <v>147</v>
      </c>
      <c r="N5" s="12" t="s">
        <v>147</v>
      </c>
      <c r="O5" s="12" t="s">
        <v>147</v>
      </c>
      <c r="P5" s="12" t="s">
        <v>147</v>
      </c>
      <c r="Q5" s="12"/>
      <c r="R5" s="12"/>
      <c r="S5" s="12" t="s">
        <v>147</v>
      </c>
      <c r="T5" s="12"/>
      <c r="U5" s="12" t="s">
        <v>147</v>
      </c>
      <c r="V5" s="12" t="s">
        <v>147</v>
      </c>
      <c r="W5" s="12" t="s">
        <v>147</v>
      </c>
      <c r="X5" s="12"/>
      <c r="Y5" s="12"/>
      <c r="Z5" s="12" t="s">
        <v>147</v>
      </c>
      <c r="AA5" s="12" t="s">
        <v>147</v>
      </c>
      <c r="AB5" s="12" t="s">
        <v>147</v>
      </c>
      <c r="AC5" s="12" t="s">
        <v>147</v>
      </c>
      <c r="AD5" s="12" t="s">
        <v>147</v>
      </c>
      <c r="AE5" s="12"/>
      <c r="AF5" s="12"/>
      <c r="AG5" s="12" t="s">
        <v>147</v>
      </c>
      <c r="AH5" s="12" t="s">
        <v>147</v>
      </c>
      <c r="AJ5" s="12"/>
      <c r="AK5" s="12">
        <f t="shared" ref="AK5:AL24" si="0">COUNTIF($E5:$AH5,AK$4)</f>
        <v>0</v>
      </c>
      <c r="AL5" s="12">
        <f t="shared" si="0"/>
        <v>0</v>
      </c>
      <c r="AM5" s="12">
        <f>SUM(AK5:AL5)</f>
        <v>0</v>
      </c>
      <c r="AN5" s="3"/>
      <c r="AO5" s="15">
        <f t="shared" ref="AO5:AU14" si="1">COUNTIF($E5:$AH5,AO$4)</f>
        <v>0</v>
      </c>
      <c r="AP5" s="15">
        <f t="shared" si="1"/>
        <v>0</v>
      </c>
      <c r="AQ5" s="15">
        <f t="shared" si="1"/>
        <v>0</v>
      </c>
      <c r="AR5" s="15">
        <f t="shared" si="1"/>
        <v>0</v>
      </c>
      <c r="AS5" s="15">
        <f t="shared" si="1"/>
        <v>0</v>
      </c>
      <c r="AT5" s="15">
        <f t="shared" si="1"/>
        <v>0</v>
      </c>
      <c r="AU5" s="15">
        <f t="shared" si="1"/>
        <v>0</v>
      </c>
      <c r="AV5" s="15">
        <f>SUM(AO5:AU5)</f>
        <v>0</v>
      </c>
    </row>
    <row r="6" spans="1:48" s="6" customFormat="1" ht="24.95" customHeight="1">
      <c r="A6" s="10">
        <f t="shared" ref="A6:A37" si="2">+A5+1</f>
        <v>2</v>
      </c>
      <c r="B6" s="60" t="s">
        <v>8</v>
      </c>
      <c r="C6" s="57">
        <v>10186</v>
      </c>
      <c r="D6" s="4" t="s">
        <v>117</v>
      </c>
      <c r="E6" s="64"/>
      <c r="F6" s="12" t="s">
        <v>147</v>
      </c>
      <c r="G6" s="64">
        <v>1901</v>
      </c>
      <c r="H6" s="12" t="s">
        <v>147</v>
      </c>
      <c r="I6" s="12" t="s">
        <v>147</v>
      </c>
      <c r="J6" s="12"/>
      <c r="K6" s="12"/>
      <c r="L6" s="12" t="s">
        <v>147</v>
      </c>
      <c r="M6" s="12" t="s">
        <v>147</v>
      </c>
      <c r="N6" s="64" t="s">
        <v>4</v>
      </c>
      <c r="O6" s="64" t="s">
        <v>4</v>
      </c>
      <c r="P6" s="12" t="s">
        <v>147</v>
      </c>
      <c r="Q6" s="12"/>
      <c r="R6" s="12"/>
      <c r="S6" s="64">
        <v>1901</v>
      </c>
      <c r="T6" s="12"/>
      <c r="U6" s="12" t="s">
        <v>147</v>
      </c>
      <c r="V6" s="64" t="s">
        <v>4</v>
      </c>
      <c r="W6" s="64" t="s">
        <v>4</v>
      </c>
      <c r="X6" s="12"/>
      <c r="Y6" s="12"/>
      <c r="Z6" s="12" t="s">
        <v>147</v>
      </c>
      <c r="AA6" s="12" t="s">
        <v>147</v>
      </c>
      <c r="AB6" s="12" t="s">
        <v>147</v>
      </c>
      <c r="AC6" s="12" t="s">
        <v>147</v>
      </c>
      <c r="AD6" s="12" t="s">
        <v>147</v>
      </c>
      <c r="AE6" s="12"/>
      <c r="AF6" s="64"/>
      <c r="AG6" s="64" t="s">
        <v>4</v>
      </c>
      <c r="AH6" s="64" t="s">
        <v>4</v>
      </c>
      <c r="AJ6" s="12"/>
      <c r="AK6" s="12">
        <f t="shared" si="0"/>
        <v>6</v>
      </c>
      <c r="AL6" s="12">
        <f t="shared" si="0"/>
        <v>0</v>
      </c>
      <c r="AM6" s="12">
        <f t="shared" ref="AM6:AM63" si="3">SUM(AK6:AL6)</f>
        <v>6</v>
      </c>
      <c r="AN6" s="3"/>
      <c r="AO6" s="15">
        <f t="shared" si="1"/>
        <v>2</v>
      </c>
      <c r="AP6" s="15">
        <f t="shared" si="1"/>
        <v>0</v>
      </c>
      <c r="AQ6" s="15">
        <f t="shared" si="1"/>
        <v>0</v>
      </c>
      <c r="AR6" s="15">
        <f t="shared" si="1"/>
        <v>0</v>
      </c>
      <c r="AS6" s="15">
        <f t="shared" si="1"/>
        <v>0</v>
      </c>
      <c r="AT6" s="15">
        <f t="shared" si="1"/>
        <v>0</v>
      </c>
      <c r="AU6" s="15">
        <f t="shared" si="1"/>
        <v>0</v>
      </c>
      <c r="AV6" s="15">
        <f t="shared" ref="AV6:AV63" si="4">SUM(AO6:AU6)</f>
        <v>2</v>
      </c>
    </row>
    <row r="7" spans="1:48" s="6" customFormat="1" ht="24.95" customHeight="1">
      <c r="A7" s="10">
        <f t="shared" si="2"/>
        <v>3</v>
      </c>
      <c r="B7" s="4" t="s">
        <v>70</v>
      </c>
      <c r="C7" s="57">
        <v>10267</v>
      </c>
      <c r="D7" s="4" t="s">
        <v>130</v>
      </c>
      <c r="E7" s="12"/>
      <c r="F7" s="12" t="s">
        <v>147</v>
      </c>
      <c r="G7" s="12" t="s">
        <v>147</v>
      </c>
      <c r="H7" s="12" t="s">
        <v>147</v>
      </c>
      <c r="I7" s="12" t="s">
        <v>147</v>
      </c>
      <c r="J7" s="12"/>
      <c r="K7" s="12"/>
      <c r="L7" s="12" t="s">
        <v>147</v>
      </c>
      <c r="M7" s="12" t="s">
        <v>147</v>
      </c>
      <c r="N7" s="12" t="s">
        <v>147</v>
      </c>
      <c r="O7" s="64">
        <v>1901</v>
      </c>
      <c r="P7" s="12" t="s">
        <v>147</v>
      </c>
      <c r="Q7" s="12"/>
      <c r="R7" s="12"/>
      <c r="S7" s="12" t="s">
        <v>147</v>
      </c>
      <c r="T7" s="12"/>
      <c r="U7" s="12" t="s">
        <v>147</v>
      </c>
      <c r="V7" s="12" t="s">
        <v>147</v>
      </c>
      <c r="W7" s="12" t="s">
        <v>147</v>
      </c>
      <c r="X7" s="12"/>
      <c r="Y7" s="12"/>
      <c r="Z7" s="12" t="s">
        <v>147</v>
      </c>
      <c r="AA7" s="12" t="s">
        <v>147</v>
      </c>
      <c r="AB7" s="12" t="s">
        <v>147</v>
      </c>
      <c r="AC7" s="12" t="s">
        <v>147</v>
      </c>
      <c r="AD7" s="12" t="s">
        <v>147</v>
      </c>
      <c r="AE7" s="12"/>
      <c r="AF7" s="12"/>
      <c r="AG7" s="12" t="s">
        <v>147</v>
      </c>
      <c r="AH7" s="12" t="s">
        <v>147</v>
      </c>
      <c r="AJ7" s="12"/>
      <c r="AK7" s="12">
        <f t="shared" si="0"/>
        <v>0</v>
      </c>
      <c r="AL7" s="12">
        <f t="shared" si="0"/>
        <v>0</v>
      </c>
      <c r="AM7" s="12">
        <f t="shared" si="3"/>
        <v>0</v>
      </c>
      <c r="AN7" s="3"/>
      <c r="AO7" s="15">
        <f t="shared" si="1"/>
        <v>1</v>
      </c>
      <c r="AP7" s="15">
        <f t="shared" si="1"/>
        <v>0</v>
      </c>
      <c r="AQ7" s="15">
        <f t="shared" si="1"/>
        <v>0</v>
      </c>
      <c r="AR7" s="15">
        <f t="shared" si="1"/>
        <v>0</v>
      </c>
      <c r="AS7" s="15">
        <f t="shared" si="1"/>
        <v>0</v>
      </c>
      <c r="AT7" s="15">
        <f t="shared" si="1"/>
        <v>0</v>
      </c>
      <c r="AU7" s="15">
        <f t="shared" si="1"/>
        <v>0</v>
      </c>
      <c r="AV7" s="15">
        <f t="shared" si="4"/>
        <v>1</v>
      </c>
    </row>
    <row r="8" spans="1:48" s="6" customFormat="1" ht="24.95" customHeight="1">
      <c r="A8" s="10">
        <f t="shared" si="2"/>
        <v>4</v>
      </c>
      <c r="B8" s="4" t="s">
        <v>9</v>
      </c>
      <c r="C8" s="57">
        <v>10273</v>
      </c>
      <c r="D8" s="4" t="s">
        <v>118</v>
      </c>
      <c r="E8" s="12"/>
      <c r="F8" s="12" t="s">
        <v>147</v>
      </c>
      <c r="G8" s="12" t="s">
        <v>147</v>
      </c>
      <c r="H8" s="12" t="s">
        <v>147</v>
      </c>
      <c r="I8" s="12" t="s">
        <v>147</v>
      </c>
      <c r="J8" s="12"/>
      <c r="K8" s="12"/>
      <c r="L8" s="12" t="s">
        <v>147</v>
      </c>
      <c r="M8" s="12" t="s">
        <v>147</v>
      </c>
      <c r="N8" s="12" t="s">
        <v>147</v>
      </c>
      <c r="O8" s="12" t="s">
        <v>147</v>
      </c>
      <c r="P8" s="12" t="s">
        <v>147</v>
      </c>
      <c r="Q8" s="12"/>
      <c r="R8" s="64"/>
      <c r="S8" s="12" t="s">
        <v>147</v>
      </c>
      <c r="T8" s="12"/>
      <c r="U8" s="12" t="s">
        <v>147</v>
      </c>
      <c r="V8" s="12" t="s">
        <v>147</v>
      </c>
      <c r="W8" s="12" t="s">
        <v>147</v>
      </c>
      <c r="X8" s="12"/>
      <c r="Y8" s="12"/>
      <c r="Z8" s="12" t="s">
        <v>147</v>
      </c>
      <c r="AA8" s="12" t="s">
        <v>147</v>
      </c>
      <c r="AB8" s="12" t="s">
        <v>147</v>
      </c>
      <c r="AC8" s="12" t="s">
        <v>147</v>
      </c>
      <c r="AD8" s="12" t="s">
        <v>147</v>
      </c>
      <c r="AE8" s="64"/>
      <c r="AF8" s="64"/>
      <c r="AG8" s="12" t="s">
        <v>147</v>
      </c>
      <c r="AH8" s="12" t="s">
        <v>147</v>
      </c>
      <c r="AJ8" s="12"/>
      <c r="AK8" s="12">
        <f t="shared" si="0"/>
        <v>0</v>
      </c>
      <c r="AL8" s="12">
        <f t="shared" si="0"/>
        <v>0</v>
      </c>
      <c r="AM8" s="12">
        <f t="shared" si="3"/>
        <v>0</v>
      </c>
      <c r="AN8" s="3"/>
      <c r="AO8" s="15">
        <f t="shared" si="1"/>
        <v>0</v>
      </c>
      <c r="AP8" s="15">
        <f t="shared" si="1"/>
        <v>0</v>
      </c>
      <c r="AQ8" s="15">
        <f t="shared" si="1"/>
        <v>0</v>
      </c>
      <c r="AR8" s="15">
        <f t="shared" si="1"/>
        <v>0</v>
      </c>
      <c r="AS8" s="15">
        <f t="shared" si="1"/>
        <v>0</v>
      </c>
      <c r="AT8" s="15">
        <f t="shared" si="1"/>
        <v>0</v>
      </c>
      <c r="AU8" s="15">
        <f t="shared" si="1"/>
        <v>0</v>
      </c>
      <c r="AV8" s="15">
        <f t="shared" si="4"/>
        <v>0</v>
      </c>
    </row>
    <row r="9" spans="1:48" s="6" customFormat="1" ht="24.95" customHeight="1">
      <c r="A9" s="10">
        <f t="shared" si="2"/>
        <v>5</v>
      </c>
      <c r="B9" s="4" t="s">
        <v>10</v>
      </c>
      <c r="C9" s="57">
        <v>10513</v>
      </c>
      <c r="D9" s="4" t="s">
        <v>131</v>
      </c>
      <c r="E9" s="12"/>
      <c r="F9" s="12" t="s">
        <v>147</v>
      </c>
      <c r="G9" s="12" t="s">
        <v>147</v>
      </c>
      <c r="H9" s="12" t="s">
        <v>147</v>
      </c>
      <c r="I9" s="12" t="s">
        <v>147</v>
      </c>
      <c r="J9" s="12"/>
      <c r="K9" s="12"/>
      <c r="L9" s="12" t="s">
        <v>147</v>
      </c>
      <c r="M9" s="12" t="s">
        <v>147</v>
      </c>
      <c r="N9" s="12" t="s">
        <v>147</v>
      </c>
      <c r="O9" s="12" t="s">
        <v>147</v>
      </c>
      <c r="P9" s="12" t="s">
        <v>147</v>
      </c>
      <c r="Q9" s="12"/>
      <c r="R9" s="64"/>
      <c r="S9" s="12" t="s">
        <v>147</v>
      </c>
      <c r="T9" s="12"/>
      <c r="U9" s="12" t="s">
        <v>147</v>
      </c>
      <c r="V9" s="12" t="s">
        <v>147</v>
      </c>
      <c r="W9" s="12" t="s">
        <v>147</v>
      </c>
      <c r="X9" s="12"/>
      <c r="Y9" s="12"/>
      <c r="Z9" s="12" t="s">
        <v>147</v>
      </c>
      <c r="AA9" s="12" t="s">
        <v>147</v>
      </c>
      <c r="AB9" s="64">
        <v>1901</v>
      </c>
      <c r="AC9" s="12" t="s">
        <v>147</v>
      </c>
      <c r="AD9" s="12" t="s">
        <v>147</v>
      </c>
      <c r="AE9" s="12"/>
      <c r="AF9" s="12"/>
      <c r="AG9" s="12" t="s">
        <v>147</v>
      </c>
      <c r="AH9" s="12" t="s">
        <v>147</v>
      </c>
      <c r="AJ9" s="12"/>
      <c r="AK9" s="12">
        <f t="shared" si="0"/>
        <v>0</v>
      </c>
      <c r="AL9" s="12">
        <f t="shared" si="0"/>
        <v>0</v>
      </c>
      <c r="AM9" s="12">
        <f t="shared" si="3"/>
        <v>0</v>
      </c>
      <c r="AN9" s="3"/>
      <c r="AO9" s="15">
        <f t="shared" si="1"/>
        <v>1</v>
      </c>
      <c r="AP9" s="15">
        <f t="shared" si="1"/>
        <v>0</v>
      </c>
      <c r="AQ9" s="15">
        <f t="shared" si="1"/>
        <v>0</v>
      </c>
      <c r="AR9" s="15">
        <f t="shared" si="1"/>
        <v>0</v>
      </c>
      <c r="AS9" s="15">
        <f t="shared" si="1"/>
        <v>0</v>
      </c>
      <c r="AT9" s="15">
        <f t="shared" si="1"/>
        <v>0</v>
      </c>
      <c r="AU9" s="15">
        <f t="shared" si="1"/>
        <v>0</v>
      </c>
      <c r="AV9" s="15">
        <f t="shared" si="4"/>
        <v>1</v>
      </c>
    </row>
    <row r="10" spans="1:48" s="6" customFormat="1" ht="24" customHeight="1">
      <c r="A10" s="10">
        <f t="shared" si="2"/>
        <v>6</v>
      </c>
      <c r="B10" s="61" t="s">
        <v>12</v>
      </c>
      <c r="C10" s="57">
        <v>10548</v>
      </c>
      <c r="D10" s="4" t="s">
        <v>119</v>
      </c>
      <c r="E10" s="12"/>
      <c r="F10" s="12" t="s">
        <v>147</v>
      </c>
      <c r="G10" s="12" t="s">
        <v>147</v>
      </c>
      <c r="H10" s="12" t="s">
        <v>147</v>
      </c>
      <c r="I10" s="12" t="s">
        <v>147</v>
      </c>
      <c r="J10" s="64"/>
      <c r="K10" s="64"/>
      <c r="L10" s="12" t="s">
        <v>147</v>
      </c>
      <c r="M10" s="12" t="s">
        <v>147</v>
      </c>
      <c r="N10" s="12" t="s">
        <v>147</v>
      </c>
      <c r="O10" s="12" t="s">
        <v>147</v>
      </c>
      <c r="P10" s="12" t="s">
        <v>147</v>
      </c>
      <c r="Q10" s="64"/>
      <c r="R10" s="64" t="s">
        <v>5</v>
      </c>
      <c r="S10" s="64" t="s">
        <v>5</v>
      </c>
      <c r="T10" s="64" t="s">
        <v>5</v>
      </c>
      <c r="U10" s="64" t="s">
        <v>5</v>
      </c>
      <c r="V10" s="64" t="s">
        <v>5</v>
      </c>
      <c r="W10" s="12" t="s">
        <v>147</v>
      </c>
      <c r="X10" s="12"/>
      <c r="Y10" s="12"/>
      <c r="Z10" s="12" t="s">
        <v>147</v>
      </c>
      <c r="AA10" s="12" t="s">
        <v>147</v>
      </c>
      <c r="AB10" s="12" t="s">
        <v>147</v>
      </c>
      <c r="AC10" s="64" t="s">
        <v>4</v>
      </c>
      <c r="AD10" s="64" t="s">
        <v>4</v>
      </c>
      <c r="AE10" s="64" t="s">
        <v>4</v>
      </c>
      <c r="AF10" s="64" t="s">
        <v>4</v>
      </c>
      <c r="AG10" s="64" t="s">
        <v>4</v>
      </c>
      <c r="AH10" s="64" t="s">
        <v>4</v>
      </c>
      <c r="AJ10" s="12"/>
      <c r="AK10" s="12">
        <f t="shared" si="0"/>
        <v>6</v>
      </c>
      <c r="AL10" s="12">
        <f t="shared" si="0"/>
        <v>5</v>
      </c>
      <c r="AM10" s="12">
        <f t="shared" si="3"/>
        <v>11</v>
      </c>
      <c r="AN10" s="3"/>
      <c r="AO10" s="15">
        <f t="shared" si="1"/>
        <v>0</v>
      </c>
      <c r="AP10" s="15">
        <f t="shared" si="1"/>
        <v>0</v>
      </c>
      <c r="AQ10" s="15">
        <f t="shared" si="1"/>
        <v>0</v>
      </c>
      <c r="AR10" s="15">
        <f t="shared" si="1"/>
        <v>0</v>
      </c>
      <c r="AS10" s="15">
        <f t="shared" si="1"/>
        <v>0</v>
      </c>
      <c r="AT10" s="15">
        <f t="shared" si="1"/>
        <v>0</v>
      </c>
      <c r="AU10" s="15">
        <f t="shared" si="1"/>
        <v>0</v>
      </c>
      <c r="AV10" s="15">
        <f t="shared" si="4"/>
        <v>0</v>
      </c>
    </row>
    <row r="11" spans="1:48" s="6" customFormat="1" ht="24.95" customHeight="1">
      <c r="A11" s="10">
        <f t="shared" si="2"/>
        <v>7</v>
      </c>
      <c r="B11" s="61" t="s">
        <v>99</v>
      </c>
      <c r="C11" s="57">
        <v>10632</v>
      </c>
      <c r="D11" s="4" t="s">
        <v>98</v>
      </c>
      <c r="E11" s="64">
        <v>1901</v>
      </c>
      <c r="F11" s="64">
        <v>1901</v>
      </c>
      <c r="G11" s="64">
        <v>1901</v>
      </c>
      <c r="H11" s="64">
        <v>1901</v>
      </c>
      <c r="I11" s="64">
        <v>1901</v>
      </c>
      <c r="J11" s="64">
        <v>1901</v>
      </c>
      <c r="K11" s="64">
        <v>1901</v>
      </c>
      <c r="L11" s="64">
        <v>1901</v>
      </c>
      <c r="M11" s="64" t="s">
        <v>148</v>
      </c>
      <c r="N11" s="64" t="s">
        <v>148</v>
      </c>
      <c r="O11" s="64" t="s">
        <v>148</v>
      </c>
      <c r="P11" s="64" t="s">
        <v>148</v>
      </c>
      <c r="Q11" s="64" t="s">
        <v>148</v>
      </c>
      <c r="R11" s="64" t="s">
        <v>148</v>
      </c>
      <c r="S11" s="64" t="s">
        <v>148</v>
      </c>
      <c r="T11" s="64" t="s">
        <v>148</v>
      </c>
      <c r="U11" s="64" t="s">
        <v>148</v>
      </c>
      <c r="V11" s="64" t="s">
        <v>148</v>
      </c>
      <c r="W11" s="64" t="s">
        <v>148</v>
      </c>
      <c r="X11" s="64" t="s">
        <v>148</v>
      </c>
      <c r="Y11" s="64" t="s">
        <v>124</v>
      </c>
      <c r="Z11" s="64" t="s">
        <v>148</v>
      </c>
      <c r="AA11" s="64" t="s">
        <v>148</v>
      </c>
      <c r="AB11" s="64" t="s">
        <v>148</v>
      </c>
      <c r="AC11" s="64" t="s">
        <v>148</v>
      </c>
      <c r="AD11" s="64" t="s">
        <v>148</v>
      </c>
      <c r="AE11" s="64" t="s">
        <v>148</v>
      </c>
      <c r="AF11" s="64" t="s">
        <v>148</v>
      </c>
      <c r="AG11" s="64" t="s">
        <v>148</v>
      </c>
      <c r="AH11" s="64" t="s">
        <v>148</v>
      </c>
      <c r="AJ11" s="12"/>
      <c r="AK11" s="12">
        <f t="shared" si="0"/>
        <v>0</v>
      </c>
      <c r="AL11" s="12">
        <f t="shared" si="0"/>
        <v>0</v>
      </c>
      <c r="AM11" s="12">
        <f t="shared" si="3"/>
        <v>0</v>
      </c>
      <c r="AN11" s="3"/>
      <c r="AO11" s="15">
        <f t="shared" si="1"/>
        <v>8</v>
      </c>
      <c r="AP11" s="15">
        <f t="shared" si="1"/>
        <v>0</v>
      </c>
      <c r="AQ11" s="15">
        <f t="shared" si="1"/>
        <v>0</v>
      </c>
      <c r="AR11" s="15">
        <f t="shared" si="1"/>
        <v>0</v>
      </c>
      <c r="AS11" s="15">
        <f t="shared" si="1"/>
        <v>0</v>
      </c>
      <c r="AT11" s="15">
        <f t="shared" si="1"/>
        <v>0</v>
      </c>
      <c r="AU11" s="15">
        <f t="shared" si="1"/>
        <v>1</v>
      </c>
      <c r="AV11" s="15">
        <f t="shared" si="4"/>
        <v>9</v>
      </c>
    </row>
    <row r="12" spans="1:48" s="6" customFormat="1" ht="24.95" customHeight="1">
      <c r="A12" s="10">
        <f t="shared" si="2"/>
        <v>8</v>
      </c>
      <c r="B12" s="4" t="s">
        <v>13</v>
      </c>
      <c r="C12" s="57">
        <v>10917</v>
      </c>
      <c r="D12" s="4" t="s">
        <v>126</v>
      </c>
      <c r="E12" s="12"/>
      <c r="F12" s="66">
        <v>1901</v>
      </c>
      <c r="G12" s="66">
        <v>1901</v>
      </c>
      <c r="H12" s="12" t="s">
        <v>147</v>
      </c>
      <c r="I12" s="12" t="s">
        <v>147</v>
      </c>
      <c r="J12" s="12"/>
      <c r="K12" s="12"/>
      <c r="L12" s="12" t="s">
        <v>147</v>
      </c>
      <c r="M12" s="12" t="s">
        <v>147</v>
      </c>
      <c r="N12" s="12" t="s">
        <v>147</v>
      </c>
      <c r="O12" s="65" t="s">
        <v>147</v>
      </c>
      <c r="P12" s="65" t="s">
        <v>147</v>
      </c>
      <c r="Q12" s="12"/>
      <c r="R12" s="12"/>
      <c r="S12" s="12" t="s">
        <v>147</v>
      </c>
      <c r="T12" s="12"/>
      <c r="U12" s="12" t="s">
        <v>147</v>
      </c>
      <c r="V12" s="12" t="s">
        <v>147</v>
      </c>
      <c r="W12" s="12" t="s">
        <v>147</v>
      </c>
      <c r="X12" s="12"/>
      <c r="Y12" s="12"/>
      <c r="Z12" s="12" t="s">
        <v>147</v>
      </c>
      <c r="AA12" s="12" t="s">
        <v>147</v>
      </c>
      <c r="AB12" s="12" t="s">
        <v>147</v>
      </c>
      <c r="AC12" s="12" t="s">
        <v>147</v>
      </c>
      <c r="AD12" s="12" t="s">
        <v>147</v>
      </c>
      <c r="AE12" s="12"/>
      <c r="AF12" s="12"/>
      <c r="AG12" s="12" t="s">
        <v>147</v>
      </c>
      <c r="AH12" s="12" t="s">
        <v>147</v>
      </c>
      <c r="AJ12" s="12"/>
      <c r="AK12" s="12">
        <f t="shared" si="0"/>
        <v>0</v>
      </c>
      <c r="AL12" s="12">
        <f t="shared" si="0"/>
        <v>0</v>
      </c>
      <c r="AM12" s="12">
        <f t="shared" si="3"/>
        <v>0</v>
      </c>
      <c r="AN12" s="3"/>
      <c r="AO12" s="15">
        <f t="shared" si="1"/>
        <v>2</v>
      </c>
      <c r="AP12" s="15">
        <f t="shared" si="1"/>
        <v>0</v>
      </c>
      <c r="AQ12" s="15">
        <f t="shared" si="1"/>
        <v>0</v>
      </c>
      <c r="AR12" s="15">
        <f t="shared" si="1"/>
        <v>0</v>
      </c>
      <c r="AS12" s="15">
        <f t="shared" si="1"/>
        <v>0</v>
      </c>
      <c r="AT12" s="15">
        <f t="shared" si="1"/>
        <v>0</v>
      </c>
      <c r="AU12" s="15">
        <f t="shared" si="1"/>
        <v>0</v>
      </c>
      <c r="AV12" s="15">
        <f t="shared" si="4"/>
        <v>2</v>
      </c>
    </row>
    <row r="13" spans="1:48" s="6" customFormat="1" ht="24.95" customHeight="1">
      <c r="A13" s="10">
        <f t="shared" si="2"/>
        <v>9</v>
      </c>
      <c r="B13" s="4" t="s">
        <v>14</v>
      </c>
      <c r="C13" s="57">
        <v>11230</v>
      </c>
      <c r="D13" s="4" t="s">
        <v>67</v>
      </c>
      <c r="E13" s="12"/>
      <c r="F13" s="64">
        <v>1901</v>
      </c>
      <c r="G13" s="64">
        <v>1901</v>
      </c>
      <c r="H13" s="64">
        <v>1901</v>
      </c>
      <c r="I13" s="66">
        <v>1901</v>
      </c>
      <c r="J13" s="12"/>
      <c r="K13" s="12"/>
      <c r="L13" s="12" t="s">
        <v>147</v>
      </c>
      <c r="M13" s="12" t="s">
        <v>147</v>
      </c>
      <c r="N13" s="12" t="s">
        <v>147</v>
      </c>
      <c r="O13" s="12" t="s">
        <v>147</v>
      </c>
      <c r="P13" s="12" t="s">
        <v>147</v>
      </c>
      <c r="Q13" s="12"/>
      <c r="R13" s="12"/>
      <c r="S13" s="12" t="s">
        <v>147</v>
      </c>
      <c r="T13" s="12"/>
      <c r="U13" s="12" t="s">
        <v>147</v>
      </c>
      <c r="V13" s="12" t="s">
        <v>147</v>
      </c>
      <c r="W13" s="12" t="s">
        <v>147</v>
      </c>
      <c r="X13" s="12"/>
      <c r="Y13" s="12"/>
      <c r="Z13" s="12" t="s">
        <v>147</v>
      </c>
      <c r="AA13" s="12" t="s">
        <v>147</v>
      </c>
      <c r="AB13" s="12" t="s">
        <v>147</v>
      </c>
      <c r="AC13" s="12" t="s">
        <v>147</v>
      </c>
      <c r="AD13" s="12" t="s">
        <v>147</v>
      </c>
      <c r="AE13" s="64"/>
      <c r="AF13" s="64"/>
      <c r="AG13" s="12" t="s">
        <v>147</v>
      </c>
      <c r="AH13" s="12" t="s">
        <v>147</v>
      </c>
      <c r="AJ13" s="12"/>
      <c r="AK13" s="12">
        <f t="shared" si="0"/>
        <v>0</v>
      </c>
      <c r="AL13" s="12">
        <f t="shared" si="0"/>
        <v>0</v>
      </c>
      <c r="AM13" s="12">
        <f t="shared" si="3"/>
        <v>0</v>
      </c>
      <c r="AN13" s="3"/>
      <c r="AO13" s="15">
        <f t="shared" si="1"/>
        <v>4</v>
      </c>
      <c r="AP13" s="15">
        <f t="shared" si="1"/>
        <v>0</v>
      </c>
      <c r="AQ13" s="15">
        <f t="shared" si="1"/>
        <v>0</v>
      </c>
      <c r="AR13" s="15">
        <f t="shared" si="1"/>
        <v>0</v>
      </c>
      <c r="AS13" s="15">
        <f t="shared" si="1"/>
        <v>0</v>
      </c>
      <c r="AT13" s="15">
        <f t="shared" si="1"/>
        <v>0</v>
      </c>
      <c r="AU13" s="15">
        <f t="shared" si="1"/>
        <v>0</v>
      </c>
      <c r="AV13" s="15">
        <f t="shared" si="4"/>
        <v>4</v>
      </c>
    </row>
    <row r="14" spans="1:48" s="6" customFormat="1" ht="24.95" customHeight="1">
      <c r="A14" s="10">
        <f t="shared" si="2"/>
        <v>10</v>
      </c>
      <c r="B14" s="4" t="s">
        <v>15</v>
      </c>
      <c r="C14" s="57">
        <v>11422</v>
      </c>
      <c r="D14" s="4" t="s">
        <v>61</v>
      </c>
      <c r="E14" s="12"/>
      <c r="F14" s="12" t="s">
        <v>147</v>
      </c>
      <c r="G14" s="12" t="s">
        <v>147</v>
      </c>
      <c r="H14" s="12" t="s">
        <v>147</v>
      </c>
      <c r="I14" s="12" t="s">
        <v>147</v>
      </c>
      <c r="J14" s="12"/>
      <c r="K14" s="12"/>
      <c r="L14" s="12" t="s">
        <v>147</v>
      </c>
      <c r="M14" s="12" t="s">
        <v>147</v>
      </c>
      <c r="N14" s="12" t="s">
        <v>147</v>
      </c>
      <c r="O14" s="12" t="s">
        <v>147</v>
      </c>
      <c r="P14" s="12" t="s">
        <v>147</v>
      </c>
      <c r="Q14" s="12"/>
      <c r="R14" s="64"/>
      <c r="S14" s="12" t="s">
        <v>147</v>
      </c>
      <c r="T14" s="64"/>
      <c r="U14" s="12" t="s">
        <v>147</v>
      </c>
      <c r="V14" s="64">
        <v>1901</v>
      </c>
      <c r="W14" s="12" t="s">
        <v>147</v>
      </c>
      <c r="X14" s="64"/>
      <c r="Y14" s="64"/>
      <c r="Z14" s="12" t="s">
        <v>147</v>
      </c>
      <c r="AA14" s="12" t="s">
        <v>147</v>
      </c>
      <c r="AB14" s="12" t="s">
        <v>147</v>
      </c>
      <c r="AC14" s="12" t="s">
        <v>147</v>
      </c>
      <c r="AD14" s="12" t="s">
        <v>147</v>
      </c>
      <c r="AE14" s="12"/>
      <c r="AF14" s="12"/>
      <c r="AG14" s="12" t="s">
        <v>147</v>
      </c>
      <c r="AH14" s="12" t="s">
        <v>147</v>
      </c>
      <c r="AJ14" s="12"/>
      <c r="AK14" s="12">
        <f t="shared" si="0"/>
        <v>0</v>
      </c>
      <c r="AL14" s="12">
        <f t="shared" si="0"/>
        <v>0</v>
      </c>
      <c r="AM14" s="12">
        <f t="shared" si="3"/>
        <v>0</v>
      </c>
      <c r="AN14" s="3"/>
      <c r="AO14" s="15">
        <f t="shared" si="1"/>
        <v>1</v>
      </c>
      <c r="AP14" s="15">
        <f t="shared" si="1"/>
        <v>0</v>
      </c>
      <c r="AQ14" s="15">
        <f t="shared" si="1"/>
        <v>0</v>
      </c>
      <c r="AR14" s="15">
        <f t="shared" si="1"/>
        <v>0</v>
      </c>
      <c r="AS14" s="15">
        <f t="shared" si="1"/>
        <v>0</v>
      </c>
      <c r="AT14" s="15">
        <f t="shared" si="1"/>
        <v>0</v>
      </c>
      <c r="AU14" s="15">
        <f t="shared" si="1"/>
        <v>0</v>
      </c>
      <c r="AV14" s="15">
        <f t="shared" si="4"/>
        <v>1</v>
      </c>
    </row>
    <row r="15" spans="1:48" s="6" customFormat="1" ht="24.95" customHeight="1">
      <c r="A15" s="10">
        <f t="shared" si="2"/>
        <v>11</v>
      </c>
      <c r="B15" s="4" t="s">
        <v>16</v>
      </c>
      <c r="C15" s="57">
        <v>11469</v>
      </c>
      <c r="D15" s="4" t="s">
        <v>17</v>
      </c>
      <c r="E15" s="64" t="s">
        <v>4</v>
      </c>
      <c r="F15" s="64" t="s">
        <v>4</v>
      </c>
      <c r="G15" s="64" t="s">
        <v>4</v>
      </c>
      <c r="H15" s="12" t="s">
        <v>147</v>
      </c>
      <c r="I15" s="64" t="s">
        <v>4</v>
      </c>
      <c r="J15" s="64"/>
      <c r="K15" s="12"/>
      <c r="L15" s="12" t="s">
        <v>147</v>
      </c>
      <c r="M15" s="64" t="s">
        <v>4</v>
      </c>
      <c r="N15" s="12" t="s">
        <v>147</v>
      </c>
      <c r="O15" s="12" t="s">
        <v>147</v>
      </c>
      <c r="P15" s="12" t="s">
        <v>147</v>
      </c>
      <c r="Q15" s="64" t="s">
        <v>4</v>
      </c>
      <c r="R15" s="64"/>
      <c r="S15" s="12" t="s">
        <v>147</v>
      </c>
      <c r="T15" s="12"/>
      <c r="U15" s="64" t="s">
        <v>4</v>
      </c>
      <c r="V15" s="12" t="s">
        <v>147</v>
      </c>
      <c r="W15" s="12" t="s">
        <v>147</v>
      </c>
      <c r="X15" s="12"/>
      <c r="Y15" s="12"/>
      <c r="Z15" s="12" t="s">
        <v>147</v>
      </c>
      <c r="AA15" s="12" t="s">
        <v>147</v>
      </c>
      <c r="AB15" s="12" t="s">
        <v>147</v>
      </c>
      <c r="AC15" s="12" t="s">
        <v>147</v>
      </c>
      <c r="AD15" s="12" t="s">
        <v>147</v>
      </c>
      <c r="AE15" s="12"/>
      <c r="AF15" s="12"/>
      <c r="AG15" s="12" t="s">
        <v>147</v>
      </c>
      <c r="AH15" s="12" t="s">
        <v>147</v>
      </c>
      <c r="AJ15" s="12"/>
      <c r="AK15" s="12">
        <f t="shared" si="0"/>
        <v>7</v>
      </c>
      <c r="AL15" s="12">
        <f t="shared" si="0"/>
        <v>0</v>
      </c>
      <c r="AM15" s="12">
        <f t="shared" si="3"/>
        <v>7</v>
      </c>
      <c r="AN15" s="3"/>
      <c r="AO15" s="15">
        <f t="shared" ref="AO15:AU24" si="5">COUNTIF($E15:$AH15,AO$4)</f>
        <v>0</v>
      </c>
      <c r="AP15" s="15">
        <f t="shared" si="5"/>
        <v>0</v>
      </c>
      <c r="AQ15" s="15">
        <f t="shared" si="5"/>
        <v>0</v>
      </c>
      <c r="AR15" s="15">
        <f t="shared" si="5"/>
        <v>0</v>
      </c>
      <c r="AS15" s="15">
        <f t="shared" si="5"/>
        <v>0</v>
      </c>
      <c r="AT15" s="15">
        <f t="shared" si="5"/>
        <v>0</v>
      </c>
      <c r="AU15" s="15">
        <f t="shared" si="5"/>
        <v>0</v>
      </c>
      <c r="AV15" s="15">
        <f t="shared" si="4"/>
        <v>0</v>
      </c>
    </row>
    <row r="16" spans="1:48" s="6" customFormat="1" ht="24.95" customHeight="1">
      <c r="A16" s="10">
        <f t="shared" si="2"/>
        <v>12</v>
      </c>
      <c r="B16" s="4" t="s">
        <v>18</v>
      </c>
      <c r="C16" s="57">
        <v>11708</v>
      </c>
      <c r="D16" s="4" t="s">
        <v>127</v>
      </c>
      <c r="E16" s="12"/>
      <c r="F16" s="12" t="s">
        <v>147</v>
      </c>
      <c r="G16" s="12" t="s">
        <v>147</v>
      </c>
      <c r="H16" s="12" t="s">
        <v>147</v>
      </c>
      <c r="I16" s="12" t="s">
        <v>147</v>
      </c>
      <c r="J16" s="12"/>
      <c r="K16" s="12"/>
      <c r="L16" s="12" t="s">
        <v>147</v>
      </c>
      <c r="M16" s="12" t="s">
        <v>147</v>
      </c>
      <c r="N16" s="12" t="s">
        <v>147</v>
      </c>
      <c r="O16" s="12" t="s">
        <v>147</v>
      </c>
      <c r="P16" s="12" t="s">
        <v>147</v>
      </c>
      <c r="Q16" s="12"/>
      <c r="R16" s="64"/>
      <c r="S16" s="12" t="s">
        <v>147</v>
      </c>
      <c r="T16" s="12"/>
      <c r="U16" s="12" t="s">
        <v>147</v>
      </c>
      <c r="V16" s="12" t="s">
        <v>147</v>
      </c>
      <c r="W16" s="12" t="s">
        <v>147</v>
      </c>
      <c r="X16" s="12"/>
      <c r="Y16" s="12"/>
      <c r="Z16" s="64">
        <v>1901</v>
      </c>
      <c r="AA16" s="64">
        <v>1901</v>
      </c>
      <c r="AB16" s="64">
        <v>1901</v>
      </c>
      <c r="AC16" s="64">
        <v>1901</v>
      </c>
      <c r="AD16" s="64">
        <v>1901</v>
      </c>
      <c r="AE16" s="12"/>
      <c r="AF16" s="12"/>
      <c r="AG16" s="64">
        <v>1901</v>
      </c>
      <c r="AH16" s="12" t="s">
        <v>147</v>
      </c>
      <c r="AJ16" s="12"/>
      <c r="AK16" s="12">
        <f t="shared" si="0"/>
        <v>0</v>
      </c>
      <c r="AL16" s="12">
        <f t="shared" si="0"/>
        <v>0</v>
      </c>
      <c r="AM16" s="12">
        <f t="shared" si="3"/>
        <v>0</v>
      </c>
      <c r="AN16" s="3"/>
      <c r="AO16" s="15">
        <f t="shared" si="5"/>
        <v>6</v>
      </c>
      <c r="AP16" s="15">
        <f t="shared" si="5"/>
        <v>0</v>
      </c>
      <c r="AQ16" s="15">
        <f t="shared" si="5"/>
        <v>0</v>
      </c>
      <c r="AR16" s="15">
        <f t="shared" si="5"/>
        <v>0</v>
      </c>
      <c r="AS16" s="15">
        <f t="shared" si="5"/>
        <v>0</v>
      </c>
      <c r="AT16" s="15">
        <f t="shared" si="5"/>
        <v>0</v>
      </c>
      <c r="AU16" s="15">
        <f t="shared" si="5"/>
        <v>0</v>
      </c>
      <c r="AV16" s="15">
        <f t="shared" si="4"/>
        <v>6</v>
      </c>
    </row>
    <row r="17" spans="1:55" s="6" customFormat="1" ht="24.95" customHeight="1">
      <c r="A17" s="10">
        <f t="shared" si="2"/>
        <v>13</v>
      </c>
      <c r="B17" s="4" t="s">
        <v>19</v>
      </c>
      <c r="C17" s="57">
        <v>11734</v>
      </c>
      <c r="D17" s="4" t="s">
        <v>62</v>
      </c>
      <c r="E17" s="64" t="s">
        <v>149</v>
      </c>
      <c r="F17" s="64" t="s">
        <v>149</v>
      </c>
      <c r="G17" s="64" t="s">
        <v>124</v>
      </c>
      <c r="H17" s="64">
        <v>1901</v>
      </c>
      <c r="I17" s="64">
        <v>1901</v>
      </c>
      <c r="J17" s="64">
        <v>1901</v>
      </c>
      <c r="K17" s="64">
        <v>1901</v>
      </c>
      <c r="L17" s="64">
        <v>1901</v>
      </c>
      <c r="M17" s="64">
        <v>1901</v>
      </c>
      <c r="N17" s="64">
        <v>1901</v>
      </c>
      <c r="O17" s="64">
        <v>1901</v>
      </c>
      <c r="P17" s="64">
        <v>1901</v>
      </c>
      <c r="Q17" s="64">
        <v>1901</v>
      </c>
      <c r="R17" s="64">
        <v>1901</v>
      </c>
      <c r="S17" s="64">
        <v>1901</v>
      </c>
      <c r="T17" s="64">
        <v>1901</v>
      </c>
      <c r="U17" s="64">
        <v>1901</v>
      </c>
      <c r="V17" s="64" t="s">
        <v>148</v>
      </c>
      <c r="W17" s="64" t="s">
        <v>148</v>
      </c>
      <c r="X17" s="64" t="s">
        <v>148</v>
      </c>
      <c r="Y17" s="64"/>
      <c r="Z17" s="64" t="s">
        <v>148</v>
      </c>
      <c r="AA17" s="64" t="s">
        <v>149</v>
      </c>
      <c r="AB17" s="64" t="s">
        <v>149</v>
      </c>
      <c r="AC17" s="64" t="s">
        <v>149</v>
      </c>
      <c r="AD17" s="64" t="s">
        <v>149</v>
      </c>
      <c r="AE17" s="64" t="s">
        <v>149</v>
      </c>
      <c r="AF17" s="64" t="s">
        <v>149</v>
      </c>
      <c r="AG17" s="64" t="s">
        <v>149</v>
      </c>
      <c r="AH17" s="64" t="s">
        <v>149</v>
      </c>
      <c r="AJ17" s="12"/>
      <c r="AK17" s="12">
        <f t="shared" si="0"/>
        <v>0</v>
      </c>
      <c r="AL17" s="12">
        <f t="shared" si="0"/>
        <v>0</v>
      </c>
      <c r="AM17" s="12">
        <f t="shared" si="3"/>
        <v>0</v>
      </c>
      <c r="AN17" s="3"/>
      <c r="AO17" s="15">
        <f t="shared" si="5"/>
        <v>14</v>
      </c>
      <c r="AP17" s="15">
        <f t="shared" si="5"/>
        <v>0</v>
      </c>
      <c r="AQ17" s="15">
        <f t="shared" si="5"/>
        <v>0</v>
      </c>
      <c r="AR17" s="15">
        <f t="shared" si="5"/>
        <v>0</v>
      </c>
      <c r="AS17" s="15">
        <f t="shared" si="5"/>
        <v>0</v>
      </c>
      <c r="AT17" s="15">
        <f t="shared" si="5"/>
        <v>0</v>
      </c>
      <c r="AU17" s="15">
        <f t="shared" si="5"/>
        <v>1</v>
      </c>
      <c r="AV17" s="15">
        <f t="shared" si="4"/>
        <v>15</v>
      </c>
    </row>
    <row r="18" spans="1:55" s="6" customFormat="1" ht="24.95" customHeight="1">
      <c r="A18" s="10">
        <f t="shared" si="2"/>
        <v>14</v>
      </c>
      <c r="B18" s="4" t="s">
        <v>20</v>
      </c>
      <c r="C18" s="57">
        <v>11829</v>
      </c>
      <c r="D18" s="4" t="s">
        <v>132</v>
      </c>
      <c r="E18" s="12"/>
      <c r="F18" s="12" t="s">
        <v>147</v>
      </c>
      <c r="G18" s="12" t="s">
        <v>147</v>
      </c>
      <c r="H18" s="12" t="s">
        <v>147</v>
      </c>
      <c r="I18" s="12" t="s">
        <v>147</v>
      </c>
      <c r="J18" s="12"/>
      <c r="K18" s="12"/>
      <c r="L18" s="12" t="s">
        <v>147</v>
      </c>
      <c r="M18" s="12" t="s">
        <v>147</v>
      </c>
      <c r="N18" s="12" t="s">
        <v>147</v>
      </c>
      <c r="O18" s="12" t="s">
        <v>147</v>
      </c>
      <c r="P18" s="12" t="s">
        <v>147</v>
      </c>
      <c r="Q18" s="12"/>
      <c r="R18" s="64"/>
      <c r="S18" s="12" t="s">
        <v>147</v>
      </c>
      <c r="T18" s="12"/>
      <c r="U18" s="12" t="s">
        <v>147</v>
      </c>
      <c r="V18" s="12" t="s">
        <v>147</v>
      </c>
      <c r="W18" s="12" t="s">
        <v>147</v>
      </c>
      <c r="X18" s="12"/>
      <c r="Y18" s="12"/>
      <c r="Z18" s="12" t="s">
        <v>147</v>
      </c>
      <c r="AA18" s="12" t="s">
        <v>147</v>
      </c>
      <c r="AB18" s="12" t="s">
        <v>147</v>
      </c>
      <c r="AC18" s="12" t="s">
        <v>147</v>
      </c>
      <c r="AD18" s="12" t="s">
        <v>147</v>
      </c>
      <c r="AE18" s="12"/>
      <c r="AF18" s="12"/>
      <c r="AG18" s="12" t="s">
        <v>147</v>
      </c>
      <c r="AH18" s="12" t="s">
        <v>147</v>
      </c>
      <c r="AJ18" s="12"/>
      <c r="AK18" s="12">
        <f t="shared" si="0"/>
        <v>0</v>
      </c>
      <c r="AL18" s="12">
        <f t="shared" si="0"/>
        <v>0</v>
      </c>
      <c r="AM18" s="12">
        <f t="shared" si="3"/>
        <v>0</v>
      </c>
      <c r="AN18" s="3"/>
      <c r="AO18" s="15">
        <f t="shared" si="5"/>
        <v>0</v>
      </c>
      <c r="AP18" s="15">
        <f t="shared" si="5"/>
        <v>0</v>
      </c>
      <c r="AQ18" s="15">
        <f t="shared" si="5"/>
        <v>0</v>
      </c>
      <c r="AR18" s="15">
        <f t="shared" si="5"/>
        <v>0</v>
      </c>
      <c r="AS18" s="15">
        <f t="shared" si="5"/>
        <v>0</v>
      </c>
      <c r="AT18" s="15">
        <f t="shared" si="5"/>
        <v>0</v>
      </c>
      <c r="AU18" s="15">
        <f t="shared" si="5"/>
        <v>0</v>
      </c>
      <c r="AV18" s="15">
        <f t="shared" si="4"/>
        <v>0</v>
      </c>
    </row>
    <row r="19" spans="1:55" s="6" customFormat="1" ht="24.95" customHeight="1">
      <c r="A19" s="10">
        <f t="shared" si="2"/>
        <v>15</v>
      </c>
      <c r="B19" s="4" t="s">
        <v>21</v>
      </c>
      <c r="C19" s="57">
        <v>11856</v>
      </c>
      <c r="D19" s="4" t="s">
        <v>125</v>
      </c>
      <c r="E19" s="12"/>
      <c r="F19" s="12" t="s">
        <v>147</v>
      </c>
      <c r="G19" s="12" t="s">
        <v>147</v>
      </c>
      <c r="H19" s="12" t="s">
        <v>147</v>
      </c>
      <c r="I19" s="12" t="s">
        <v>147</v>
      </c>
      <c r="J19" s="12"/>
      <c r="K19" s="12"/>
      <c r="L19" s="12" t="s">
        <v>147</v>
      </c>
      <c r="M19" s="12" t="s">
        <v>147</v>
      </c>
      <c r="N19" s="12" t="s">
        <v>147</v>
      </c>
      <c r="O19" s="12" t="s">
        <v>147</v>
      </c>
      <c r="P19" s="12" t="s">
        <v>147</v>
      </c>
      <c r="Q19" s="12"/>
      <c r="R19" s="12"/>
      <c r="S19" s="12" t="s">
        <v>147</v>
      </c>
      <c r="T19" s="12"/>
      <c r="U19" s="12" t="s">
        <v>147</v>
      </c>
      <c r="V19" s="12" t="s">
        <v>147</v>
      </c>
      <c r="W19" s="12" t="s">
        <v>147</v>
      </c>
      <c r="X19" s="12"/>
      <c r="Y19" s="12"/>
      <c r="Z19" s="64">
        <v>1901</v>
      </c>
      <c r="AA19" s="12" t="s">
        <v>147</v>
      </c>
      <c r="AB19" s="12" t="s">
        <v>147</v>
      </c>
      <c r="AC19" s="12" t="s">
        <v>147</v>
      </c>
      <c r="AD19" s="12" t="s">
        <v>147</v>
      </c>
      <c r="AE19" s="12"/>
      <c r="AF19" s="12"/>
      <c r="AG19" s="12" t="s">
        <v>147</v>
      </c>
      <c r="AH19" s="12" t="s">
        <v>147</v>
      </c>
      <c r="AJ19" s="12"/>
      <c r="AK19" s="12">
        <f t="shared" si="0"/>
        <v>0</v>
      </c>
      <c r="AL19" s="12">
        <f t="shared" si="0"/>
        <v>0</v>
      </c>
      <c r="AM19" s="12">
        <f t="shared" si="3"/>
        <v>0</v>
      </c>
      <c r="AN19" s="3"/>
      <c r="AO19" s="15">
        <f t="shared" si="5"/>
        <v>1</v>
      </c>
      <c r="AP19" s="15">
        <f t="shared" si="5"/>
        <v>0</v>
      </c>
      <c r="AQ19" s="15">
        <f t="shared" si="5"/>
        <v>0</v>
      </c>
      <c r="AR19" s="15">
        <f t="shared" si="5"/>
        <v>0</v>
      </c>
      <c r="AS19" s="15">
        <f t="shared" si="5"/>
        <v>0</v>
      </c>
      <c r="AT19" s="15">
        <f t="shared" si="5"/>
        <v>0</v>
      </c>
      <c r="AU19" s="15">
        <f t="shared" si="5"/>
        <v>0</v>
      </c>
      <c r="AV19" s="15">
        <f t="shared" si="4"/>
        <v>1</v>
      </c>
    </row>
    <row r="20" spans="1:55" s="6" customFormat="1" ht="24.75" customHeight="1">
      <c r="A20" s="10">
        <f t="shared" si="2"/>
        <v>16</v>
      </c>
      <c r="B20" s="4" t="s">
        <v>23</v>
      </c>
      <c r="C20" s="57">
        <v>12010</v>
      </c>
      <c r="D20" s="4" t="s">
        <v>120</v>
      </c>
      <c r="F20" s="12" t="s">
        <v>147</v>
      </c>
      <c r="G20" s="12" t="s">
        <v>147</v>
      </c>
      <c r="H20" s="12" t="s">
        <v>147</v>
      </c>
      <c r="I20" s="12" t="s">
        <v>147</v>
      </c>
      <c r="J20" s="12"/>
      <c r="K20" s="12"/>
      <c r="L20" s="64">
        <v>1901</v>
      </c>
      <c r="M20" s="64">
        <v>1901</v>
      </c>
      <c r="N20" s="64">
        <v>1901</v>
      </c>
      <c r="O20" s="64">
        <v>1901</v>
      </c>
      <c r="P20" s="12" t="s">
        <v>147</v>
      </c>
      <c r="Q20" s="12"/>
      <c r="R20" s="12"/>
      <c r="S20" s="12" t="s">
        <v>147</v>
      </c>
      <c r="T20" s="12"/>
      <c r="U20" s="12" t="s">
        <v>147</v>
      </c>
      <c r="V20" s="64" t="s">
        <v>4</v>
      </c>
      <c r="W20" s="12" t="s">
        <v>147</v>
      </c>
      <c r="X20" s="64"/>
      <c r="Y20" s="64"/>
      <c r="Z20" s="12" t="s">
        <v>147</v>
      </c>
      <c r="AA20" s="12" t="s">
        <v>147</v>
      </c>
      <c r="AB20" s="12" t="s">
        <v>147</v>
      </c>
      <c r="AC20" s="12" t="s">
        <v>147</v>
      </c>
      <c r="AD20" s="12" t="s">
        <v>147</v>
      </c>
      <c r="AE20" s="64"/>
      <c r="AF20" s="64"/>
      <c r="AG20" s="12" t="s">
        <v>147</v>
      </c>
      <c r="AH20" s="12" t="s">
        <v>147</v>
      </c>
      <c r="AJ20" s="12"/>
      <c r="AK20" s="12">
        <f t="shared" si="0"/>
        <v>1</v>
      </c>
      <c r="AL20" s="12">
        <f t="shared" si="0"/>
        <v>0</v>
      </c>
      <c r="AM20" s="12">
        <f t="shared" si="3"/>
        <v>1</v>
      </c>
      <c r="AN20" s="3"/>
      <c r="AO20" s="15">
        <f t="shared" si="5"/>
        <v>4</v>
      </c>
      <c r="AP20" s="15">
        <f t="shared" si="5"/>
        <v>0</v>
      </c>
      <c r="AQ20" s="15">
        <f t="shared" si="5"/>
        <v>0</v>
      </c>
      <c r="AR20" s="15">
        <f t="shared" si="5"/>
        <v>0</v>
      </c>
      <c r="AS20" s="15">
        <f t="shared" si="5"/>
        <v>0</v>
      </c>
      <c r="AT20" s="15">
        <f t="shared" si="5"/>
        <v>0</v>
      </c>
      <c r="AU20" s="15">
        <f t="shared" si="5"/>
        <v>0</v>
      </c>
      <c r="AV20" s="15">
        <f t="shared" si="4"/>
        <v>4</v>
      </c>
    </row>
    <row r="21" spans="1:55" s="17" customFormat="1" ht="24.95" customHeight="1">
      <c r="A21" s="10">
        <f t="shared" si="2"/>
        <v>17</v>
      </c>
      <c r="B21" s="4" t="s">
        <v>24</v>
      </c>
      <c r="C21" s="57">
        <v>12014</v>
      </c>
      <c r="D21" s="4" t="s">
        <v>90</v>
      </c>
      <c r="E21" s="64" t="s">
        <v>5</v>
      </c>
      <c r="F21" s="64" t="s">
        <v>5</v>
      </c>
      <c r="G21" s="64" t="s">
        <v>5</v>
      </c>
      <c r="H21" s="64" t="s">
        <v>5</v>
      </c>
      <c r="I21" s="64" t="s">
        <v>5</v>
      </c>
      <c r="J21" s="64" t="s">
        <v>5</v>
      </c>
      <c r="K21" s="64" t="s">
        <v>5</v>
      </c>
      <c r="L21" s="64" t="s">
        <v>5</v>
      </c>
      <c r="M21" s="64" t="s">
        <v>5</v>
      </c>
      <c r="N21" s="64" t="s">
        <v>5</v>
      </c>
      <c r="O21" s="64" t="s">
        <v>5</v>
      </c>
      <c r="P21" s="64" t="s">
        <v>5</v>
      </c>
      <c r="Q21" s="12"/>
      <c r="R21" s="12"/>
      <c r="S21" s="12"/>
      <c r="T21" s="12"/>
      <c r="U21" s="12"/>
      <c r="V21" s="14"/>
      <c r="W21" s="14"/>
      <c r="X21" s="64"/>
      <c r="Y21" s="64"/>
      <c r="Z21" s="12" t="s">
        <v>147</v>
      </c>
      <c r="AA21" s="12" t="s">
        <v>147</v>
      </c>
      <c r="AB21" s="12" t="s">
        <v>147</v>
      </c>
      <c r="AC21" s="12" t="s">
        <v>147</v>
      </c>
      <c r="AD21" s="12" t="s">
        <v>147</v>
      </c>
      <c r="AE21" s="64"/>
      <c r="AF21" s="64"/>
      <c r="AG21" s="12" t="s">
        <v>147</v>
      </c>
      <c r="AH21" s="12" t="s">
        <v>147</v>
      </c>
      <c r="AI21" s="6"/>
      <c r="AJ21" s="12"/>
      <c r="AK21" s="12">
        <f t="shared" si="0"/>
        <v>0</v>
      </c>
      <c r="AL21" s="12">
        <f t="shared" si="0"/>
        <v>12</v>
      </c>
      <c r="AM21" s="12">
        <f t="shared" si="3"/>
        <v>12</v>
      </c>
      <c r="AN21" s="3"/>
      <c r="AO21" s="15">
        <f t="shared" si="5"/>
        <v>0</v>
      </c>
      <c r="AP21" s="15">
        <f t="shared" si="5"/>
        <v>0</v>
      </c>
      <c r="AQ21" s="15">
        <f t="shared" si="5"/>
        <v>0</v>
      </c>
      <c r="AR21" s="15">
        <f t="shared" si="5"/>
        <v>0</v>
      </c>
      <c r="AS21" s="15">
        <f t="shared" si="5"/>
        <v>0</v>
      </c>
      <c r="AT21" s="15">
        <f t="shared" si="5"/>
        <v>0</v>
      </c>
      <c r="AU21" s="15">
        <f t="shared" si="5"/>
        <v>0</v>
      </c>
      <c r="AV21" s="15">
        <f t="shared" si="4"/>
        <v>0</v>
      </c>
      <c r="AX21" s="6"/>
      <c r="AY21" s="6"/>
      <c r="AZ21" s="6"/>
      <c r="BA21" s="6"/>
      <c r="BB21" s="6"/>
      <c r="BC21" s="6"/>
    </row>
    <row r="22" spans="1:55" s="17" customFormat="1" ht="24.95" customHeight="1">
      <c r="A22" s="10">
        <f t="shared" si="2"/>
        <v>18</v>
      </c>
      <c r="B22" s="4" t="s">
        <v>25</v>
      </c>
      <c r="C22" s="57">
        <v>12491</v>
      </c>
      <c r="D22" s="4" t="s">
        <v>88</v>
      </c>
      <c r="E22" s="12"/>
      <c r="F22" s="12" t="s">
        <v>147</v>
      </c>
      <c r="G22" s="12" t="s">
        <v>147</v>
      </c>
      <c r="H22" s="12" t="s">
        <v>147</v>
      </c>
      <c r="I22" s="12" t="s">
        <v>147</v>
      </c>
      <c r="J22" s="12"/>
      <c r="K22" s="12"/>
      <c r="L22" s="12" t="s">
        <v>147</v>
      </c>
      <c r="M22" s="12" t="s">
        <v>147</v>
      </c>
      <c r="N22" s="12" t="s">
        <v>147</v>
      </c>
      <c r="O22" s="12" t="s">
        <v>147</v>
      </c>
      <c r="P22" s="12" t="s">
        <v>147</v>
      </c>
      <c r="Q22" s="12"/>
      <c r="R22" s="12"/>
      <c r="S22" s="64">
        <v>1901</v>
      </c>
      <c r="T22" s="12"/>
      <c r="U22" s="12" t="s">
        <v>147</v>
      </c>
      <c r="V22" s="12" t="s">
        <v>147</v>
      </c>
      <c r="W22" s="12" t="s">
        <v>147</v>
      </c>
      <c r="X22" s="64"/>
      <c r="Y22" s="12"/>
      <c r="Z22" s="12" t="s">
        <v>147</v>
      </c>
      <c r="AA22" s="12" t="s">
        <v>147</v>
      </c>
      <c r="AB22" s="64">
        <v>1901</v>
      </c>
      <c r="AC22" s="12" t="s">
        <v>147</v>
      </c>
      <c r="AD22" s="12" t="s">
        <v>147</v>
      </c>
      <c r="AE22" s="12"/>
      <c r="AF22" s="12"/>
      <c r="AG22" s="12" t="s">
        <v>147</v>
      </c>
      <c r="AH22" s="12" t="s">
        <v>147</v>
      </c>
      <c r="AI22" s="6"/>
      <c r="AJ22" s="12"/>
      <c r="AK22" s="12">
        <f t="shared" si="0"/>
        <v>0</v>
      </c>
      <c r="AL22" s="12">
        <f t="shared" si="0"/>
        <v>0</v>
      </c>
      <c r="AM22" s="12">
        <f t="shared" si="3"/>
        <v>0</v>
      </c>
      <c r="AN22" s="3"/>
      <c r="AO22" s="15">
        <f t="shared" si="5"/>
        <v>2</v>
      </c>
      <c r="AP22" s="15">
        <f t="shared" si="5"/>
        <v>0</v>
      </c>
      <c r="AQ22" s="15">
        <f t="shared" si="5"/>
        <v>0</v>
      </c>
      <c r="AR22" s="15">
        <f t="shared" si="5"/>
        <v>0</v>
      </c>
      <c r="AS22" s="15">
        <f t="shared" si="5"/>
        <v>0</v>
      </c>
      <c r="AT22" s="15">
        <f t="shared" si="5"/>
        <v>0</v>
      </c>
      <c r="AU22" s="15">
        <f t="shared" si="5"/>
        <v>0</v>
      </c>
      <c r="AV22" s="15">
        <f t="shared" si="4"/>
        <v>2</v>
      </c>
      <c r="AX22" s="6"/>
      <c r="AY22" s="6"/>
      <c r="AZ22" s="6"/>
      <c r="BA22" s="6"/>
      <c r="BB22" s="6"/>
      <c r="BC22" s="6"/>
    </row>
    <row r="23" spans="1:55" s="17" customFormat="1" ht="24.95" customHeight="1">
      <c r="A23" s="10">
        <f t="shared" si="2"/>
        <v>19</v>
      </c>
      <c r="B23" s="4" t="s">
        <v>26</v>
      </c>
      <c r="C23" s="57">
        <v>12659</v>
      </c>
      <c r="D23" s="4" t="s">
        <v>121</v>
      </c>
      <c r="E23" s="12"/>
      <c r="F23" s="12" t="s">
        <v>147</v>
      </c>
      <c r="G23" s="12" t="s">
        <v>147</v>
      </c>
      <c r="H23" s="12" t="s">
        <v>147</v>
      </c>
      <c r="I23" s="12" t="s">
        <v>147</v>
      </c>
      <c r="J23" s="64" t="s">
        <v>4</v>
      </c>
      <c r="K23" s="64" t="s">
        <v>4</v>
      </c>
      <c r="L23" s="64" t="s">
        <v>4</v>
      </c>
      <c r="M23" s="64" t="s">
        <v>4</v>
      </c>
      <c r="N23" s="64" t="s">
        <v>4</v>
      </c>
      <c r="O23" s="64" t="s">
        <v>4</v>
      </c>
      <c r="P23" s="64" t="s">
        <v>4</v>
      </c>
      <c r="Q23" s="64" t="s">
        <v>4</v>
      </c>
      <c r="R23" s="64" t="s">
        <v>4</v>
      </c>
      <c r="S23" s="64" t="s">
        <v>4</v>
      </c>
      <c r="T23" s="64" t="s">
        <v>4</v>
      </c>
      <c r="U23" s="64" t="s">
        <v>4</v>
      </c>
      <c r="V23" s="64" t="s">
        <v>4</v>
      </c>
      <c r="W23" s="64" t="s">
        <v>4</v>
      </c>
      <c r="X23" s="64" t="s">
        <v>4</v>
      </c>
      <c r="Y23" s="64" t="s">
        <v>4</v>
      </c>
      <c r="Z23" s="64" t="s">
        <v>4</v>
      </c>
      <c r="AA23" s="64" t="s">
        <v>4</v>
      </c>
      <c r="AB23" s="64" t="s">
        <v>4</v>
      </c>
      <c r="AC23" s="64" t="s">
        <v>4</v>
      </c>
      <c r="AD23" s="64" t="s">
        <v>4</v>
      </c>
      <c r="AE23" s="64" t="s">
        <v>4</v>
      </c>
      <c r="AF23" s="64" t="s">
        <v>4</v>
      </c>
      <c r="AG23" s="64" t="s">
        <v>4</v>
      </c>
      <c r="AH23" s="64" t="s">
        <v>4</v>
      </c>
      <c r="AI23" s="6"/>
      <c r="AJ23" s="12"/>
      <c r="AK23" s="12">
        <f t="shared" si="0"/>
        <v>25</v>
      </c>
      <c r="AL23" s="12">
        <f t="shared" si="0"/>
        <v>0</v>
      </c>
      <c r="AM23" s="12">
        <f t="shared" si="3"/>
        <v>25</v>
      </c>
      <c r="AN23" s="3"/>
      <c r="AO23" s="15">
        <f t="shared" si="5"/>
        <v>0</v>
      </c>
      <c r="AP23" s="15">
        <f t="shared" si="5"/>
        <v>0</v>
      </c>
      <c r="AQ23" s="15">
        <f t="shared" si="5"/>
        <v>0</v>
      </c>
      <c r="AR23" s="15">
        <f t="shared" si="5"/>
        <v>0</v>
      </c>
      <c r="AS23" s="15">
        <f t="shared" si="5"/>
        <v>0</v>
      </c>
      <c r="AT23" s="15">
        <f t="shared" si="5"/>
        <v>0</v>
      </c>
      <c r="AU23" s="15">
        <f t="shared" si="5"/>
        <v>0</v>
      </c>
      <c r="AV23" s="15">
        <f t="shared" si="4"/>
        <v>0</v>
      </c>
      <c r="AX23" s="6"/>
      <c r="AY23" s="6"/>
      <c r="AZ23" s="6"/>
      <c r="BA23" s="6"/>
      <c r="BB23" s="6"/>
      <c r="BC23" s="6"/>
    </row>
    <row r="24" spans="1:55" s="17" customFormat="1" ht="24.95" customHeight="1">
      <c r="A24" s="10">
        <f t="shared" si="2"/>
        <v>20</v>
      </c>
      <c r="B24" s="4" t="s">
        <v>81</v>
      </c>
      <c r="C24" s="57">
        <v>12679</v>
      </c>
      <c r="D24" s="4" t="s">
        <v>133</v>
      </c>
      <c r="E24" s="64"/>
      <c r="F24" s="64">
        <v>1901</v>
      </c>
      <c r="G24" s="12" t="s">
        <v>147</v>
      </c>
      <c r="H24" s="12" t="s">
        <v>147</v>
      </c>
      <c r="I24" s="12" t="s">
        <v>147</v>
      </c>
      <c r="J24" s="12"/>
      <c r="K24" s="12"/>
      <c r="L24" s="12" t="s">
        <v>147</v>
      </c>
      <c r="M24" s="12" t="s">
        <v>147</v>
      </c>
      <c r="N24" s="12" t="s">
        <v>147</v>
      </c>
      <c r="O24" s="12" t="s">
        <v>147</v>
      </c>
      <c r="P24" s="12" t="s">
        <v>147</v>
      </c>
      <c r="Q24" s="12"/>
      <c r="R24" s="12"/>
      <c r="S24" s="12" t="s">
        <v>147</v>
      </c>
      <c r="T24" s="12"/>
      <c r="U24" s="12" t="s">
        <v>147</v>
      </c>
      <c r="V24" s="12" t="s">
        <v>147</v>
      </c>
      <c r="W24" s="12" t="s">
        <v>147</v>
      </c>
      <c r="X24" s="12"/>
      <c r="Y24" s="12"/>
      <c r="Z24" s="12" t="s">
        <v>147</v>
      </c>
      <c r="AA24" s="12" t="s">
        <v>147</v>
      </c>
      <c r="AB24" s="12" t="s">
        <v>147</v>
      </c>
      <c r="AC24" s="12" t="s">
        <v>147</v>
      </c>
      <c r="AD24" s="12" t="s">
        <v>147</v>
      </c>
      <c r="AE24" s="12"/>
      <c r="AF24" s="12"/>
      <c r="AG24" s="12" t="s">
        <v>147</v>
      </c>
      <c r="AH24" s="12" t="s">
        <v>147</v>
      </c>
      <c r="AI24" s="6"/>
      <c r="AJ24" s="12"/>
      <c r="AK24" s="12">
        <f t="shared" si="0"/>
        <v>0</v>
      </c>
      <c r="AL24" s="12">
        <f t="shared" si="0"/>
        <v>0</v>
      </c>
      <c r="AM24" s="12">
        <f t="shared" si="3"/>
        <v>0</v>
      </c>
      <c r="AN24" s="3"/>
      <c r="AO24" s="15">
        <f t="shared" si="5"/>
        <v>1</v>
      </c>
      <c r="AP24" s="15">
        <f t="shared" si="5"/>
        <v>0</v>
      </c>
      <c r="AQ24" s="15">
        <f t="shared" si="5"/>
        <v>0</v>
      </c>
      <c r="AR24" s="15">
        <f t="shared" si="5"/>
        <v>0</v>
      </c>
      <c r="AS24" s="15">
        <f t="shared" si="5"/>
        <v>0</v>
      </c>
      <c r="AT24" s="15">
        <f t="shared" si="5"/>
        <v>0</v>
      </c>
      <c r="AU24" s="15">
        <f t="shared" si="5"/>
        <v>0</v>
      </c>
      <c r="AV24" s="15">
        <f t="shared" si="4"/>
        <v>1</v>
      </c>
      <c r="AX24" s="6"/>
      <c r="AY24" s="6"/>
      <c r="AZ24" s="6"/>
      <c r="BA24" s="6"/>
      <c r="BB24" s="6"/>
      <c r="BC24" s="6"/>
    </row>
    <row r="25" spans="1:55" s="6" customFormat="1" ht="24.95" customHeight="1">
      <c r="A25" s="10">
        <f t="shared" si="2"/>
        <v>21</v>
      </c>
      <c r="B25" s="4" t="s">
        <v>27</v>
      </c>
      <c r="C25" s="57">
        <v>12730</v>
      </c>
      <c r="D25" s="4" t="s">
        <v>125</v>
      </c>
      <c r="E25" s="12"/>
      <c r="F25" s="12" t="s">
        <v>147</v>
      </c>
      <c r="G25" s="12" t="s">
        <v>147</v>
      </c>
      <c r="H25" s="12" t="s">
        <v>147</v>
      </c>
      <c r="I25" s="12" t="s">
        <v>147</v>
      </c>
      <c r="J25" s="12"/>
      <c r="K25" s="12"/>
      <c r="L25" s="12" t="s">
        <v>147</v>
      </c>
      <c r="M25" s="12" t="s">
        <v>147</v>
      </c>
      <c r="N25" s="12" t="s">
        <v>147</v>
      </c>
      <c r="O25" s="12" t="s">
        <v>147</v>
      </c>
      <c r="P25" s="12" t="s">
        <v>147</v>
      </c>
      <c r="Q25" s="12"/>
      <c r="R25" s="12"/>
      <c r="S25" s="12" t="s">
        <v>147</v>
      </c>
      <c r="T25" s="64"/>
      <c r="U25" s="12" t="s">
        <v>147</v>
      </c>
      <c r="V25" s="12" t="s">
        <v>147</v>
      </c>
      <c r="W25" s="12" t="s">
        <v>147</v>
      </c>
      <c r="X25" s="12"/>
      <c r="Y25" s="64"/>
      <c r="Z25" s="64">
        <v>1901</v>
      </c>
      <c r="AA25" s="64">
        <v>1901</v>
      </c>
      <c r="AB25" s="12" t="s">
        <v>147</v>
      </c>
      <c r="AC25" s="64" t="s">
        <v>5</v>
      </c>
      <c r="AD25" s="64" t="s">
        <v>5</v>
      </c>
      <c r="AE25" s="64" t="s">
        <v>5</v>
      </c>
      <c r="AF25" s="64" t="s">
        <v>5</v>
      </c>
      <c r="AG25" s="64" t="s">
        <v>5</v>
      </c>
      <c r="AH25" s="64" t="s">
        <v>5</v>
      </c>
      <c r="AJ25" s="12"/>
      <c r="AK25" s="12">
        <f t="shared" ref="AK25:AL44" si="6">COUNTIF($E25:$AH25,AK$4)</f>
        <v>0</v>
      </c>
      <c r="AL25" s="12">
        <f t="shared" si="6"/>
        <v>6</v>
      </c>
      <c r="AM25" s="12">
        <f t="shared" si="3"/>
        <v>6</v>
      </c>
      <c r="AN25" s="3"/>
      <c r="AO25" s="15">
        <f t="shared" ref="AO25:AU34" si="7">COUNTIF($E25:$AH25,AO$4)</f>
        <v>2</v>
      </c>
      <c r="AP25" s="15">
        <f t="shared" si="7"/>
        <v>0</v>
      </c>
      <c r="AQ25" s="15">
        <f t="shared" si="7"/>
        <v>0</v>
      </c>
      <c r="AR25" s="15">
        <f t="shared" si="7"/>
        <v>0</v>
      </c>
      <c r="AS25" s="15">
        <f t="shared" si="7"/>
        <v>0</v>
      </c>
      <c r="AT25" s="15">
        <f t="shared" si="7"/>
        <v>0</v>
      </c>
      <c r="AU25" s="15">
        <f t="shared" si="7"/>
        <v>0</v>
      </c>
      <c r="AV25" s="15">
        <f t="shared" si="4"/>
        <v>2</v>
      </c>
    </row>
    <row r="26" spans="1:55" s="6" customFormat="1" ht="24.95" customHeight="1">
      <c r="A26" s="10">
        <f t="shared" si="2"/>
        <v>22</v>
      </c>
      <c r="B26" s="4" t="s">
        <v>76</v>
      </c>
      <c r="C26" s="57">
        <v>12891</v>
      </c>
      <c r="D26" s="4" t="s">
        <v>134</v>
      </c>
      <c r="E26" s="12"/>
      <c r="F26" s="12" t="s">
        <v>147</v>
      </c>
      <c r="G26" s="12" t="s">
        <v>147</v>
      </c>
      <c r="H26" s="12" t="s">
        <v>147</v>
      </c>
      <c r="I26" s="12" t="s">
        <v>147</v>
      </c>
      <c r="J26" s="12"/>
      <c r="K26" s="12"/>
      <c r="L26" s="12" t="s">
        <v>147</v>
      </c>
      <c r="M26" s="12" t="s">
        <v>147</v>
      </c>
      <c r="N26" s="12" t="s">
        <v>147</v>
      </c>
      <c r="O26" s="12" t="s">
        <v>147</v>
      </c>
      <c r="P26" s="12" t="s">
        <v>147</v>
      </c>
      <c r="Q26" s="12"/>
      <c r="R26" s="12"/>
      <c r="S26" s="12" t="s">
        <v>147</v>
      </c>
      <c r="T26" s="12"/>
      <c r="U26" s="12" t="s">
        <v>147</v>
      </c>
      <c r="V26" s="12" t="s">
        <v>147</v>
      </c>
      <c r="W26" s="12" t="s">
        <v>147</v>
      </c>
      <c r="X26" s="12"/>
      <c r="Y26" s="12"/>
      <c r="Z26" s="12" t="s">
        <v>147</v>
      </c>
      <c r="AA26" s="12" t="s">
        <v>147</v>
      </c>
      <c r="AB26" s="12" t="s">
        <v>147</v>
      </c>
      <c r="AC26" s="12" t="s">
        <v>147</v>
      </c>
      <c r="AD26" s="12" t="s">
        <v>147</v>
      </c>
      <c r="AE26" s="12"/>
      <c r="AF26" s="12"/>
      <c r="AG26" s="12" t="s">
        <v>147</v>
      </c>
      <c r="AH26" s="12" t="s">
        <v>147</v>
      </c>
      <c r="AJ26" s="12"/>
      <c r="AK26" s="12">
        <f t="shared" si="6"/>
        <v>0</v>
      </c>
      <c r="AL26" s="12">
        <f t="shared" si="6"/>
        <v>0</v>
      </c>
      <c r="AM26" s="12">
        <f t="shared" si="3"/>
        <v>0</v>
      </c>
      <c r="AN26" s="3"/>
      <c r="AO26" s="15">
        <f t="shared" si="7"/>
        <v>0</v>
      </c>
      <c r="AP26" s="15">
        <f t="shared" si="7"/>
        <v>0</v>
      </c>
      <c r="AQ26" s="15">
        <f t="shared" si="7"/>
        <v>0</v>
      </c>
      <c r="AR26" s="15">
        <f t="shared" si="7"/>
        <v>0</v>
      </c>
      <c r="AS26" s="15">
        <f t="shared" si="7"/>
        <v>0</v>
      </c>
      <c r="AT26" s="15">
        <f t="shared" si="7"/>
        <v>0</v>
      </c>
      <c r="AU26" s="15">
        <f t="shared" si="7"/>
        <v>0</v>
      </c>
      <c r="AV26" s="15">
        <f t="shared" si="4"/>
        <v>0</v>
      </c>
    </row>
    <row r="27" spans="1:55" s="17" customFormat="1" ht="24.95" customHeight="1">
      <c r="A27" s="10">
        <f t="shared" si="2"/>
        <v>23</v>
      </c>
      <c r="B27" s="4" t="s">
        <v>28</v>
      </c>
      <c r="C27" s="57">
        <v>13100</v>
      </c>
      <c r="D27" s="4" t="s">
        <v>125</v>
      </c>
      <c r="E27" s="64"/>
      <c r="F27" s="12" t="s">
        <v>147</v>
      </c>
      <c r="G27" s="12" t="s">
        <v>147</v>
      </c>
      <c r="H27" s="12" t="s">
        <v>147</v>
      </c>
      <c r="I27" s="12" t="s">
        <v>147</v>
      </c>
      <c r="J27" s="12"/>
      <c r="K27" s="12"/>
      <c r="L27" s="12" t="s">
        <v>147</v>
      </c>
      <c r="M27" s="12" t="s">
        <v>147</v>
      </c>
      <c r="N27" s="12" t="s">
        <v>147</v>
      </c>
      <c r="O27" s="12" t="s">
        <v>147</v>
      </c>
      <c r="P27" s="12" t="s">
        <v>147</v>
      </c>
      <c r="Q27" s="12"/>
      <c r="R27" s="12"/>
      <c r="S27" s="12" t="s">
        <v>147</v>
      </c>
      <c r="T27" s="12"/>
      <c r="U27" s="12" t="s">
        <v>147</v>
      </c>
      <c r="V27" s="12" t="s">
        <v>147</v>
      </c>
      <c r="W27" s="12" t="s">
        <v>147</v>
      </c>
      <c r="X27" s="12"/>
      <c r="Y27" s="12"/>
      <c r="Z27" s="12" t="s">
        <v>147</v>
      </c>
      <c r="AA27" s="12" t="s">
        <v>147</v>
      </c>
      <c r="AB27" s="12" t="s">
        <v>147</v>
      </c>
      <c r="AC27" s="12" t="s">
        <v>147</v>
      </c>
      <c r="AD27" s="12" t="s">
        <v>147</v>
      </c>
      <c r="AE27" s="12"/>
      <c r="AF27" s="12"/>
      <c r="AG27" s="12" t="s">
        <v>147</v>
      </c>
      <c r="AH27" s="12" t="s">
        <v>147</v>
      </c>
      <c r="AI27" s="6"/>
      <c r="AJ27" s="12"/>
      <c r="AK27" s="12">
        <f t="shared" si="6"/>
        <v>0</v>
      </c>
      <c r="AL27" s="12">
        <f t="shared" si="6"/>
        <v>0</v>
      </c>
      <c r="AM27" s="12">
        <f t="shared" si="3"/>
        <v>0</v>
      </c>
      <c r="AN27" s="3"/>
      <c r="AO27" s="15">
        <f t="shared" si="7"/>
        <v>0</v>
      </c>
      <c r="AP27" s="15">
        <f t="shared" si="7"/>
        <v>0</v>
      </c>
      <c r="AQ27" s="15">
        <f t="shared" si="7"/>
        <v>0</v>
      </c>
      <c r="AR27" s="15">
        <f t="shared" si="7"/>
        <v>0</v>
      </c>
      <c r="AS27" s="15">
        <f t="shared" si="7"/>
        <v>0</v>
      </c>
      <c r="AT27" s="15">
        <f t="shared" si="7"/>
        <v>0</v>
      </c>
      <c r="AU27" s="15">
        <f t="shared" si="7"/>
        <v>0</v>
      </c>
      <c r="AV27" s="15">
        <f t="shared" si="4"/>
        <v>0</v>
      </c>
      <c r="AX27" s="6"/>
      <c r="AY27" s="6"/>
      <c r="AZ27" s="6"/>
      <c r="BA27" s="6"/>
      <c r="BB27" s="6"/>
      <c r="BC27" s="6"/>
    </row>
    <row r="28" spans="1:55" s="17" customFormat="1" ht="24" customHeight="1">
      <c r="A28" s="10">
        <f t="shared" si="2"/>
        <v>24</v>
      </c>
      <c r="B28" s="62" t="s">
        <v>29</v>
      </c>
      <c r="C28" s="58">
        <v>13224</v>
      </c>
      <c r="D28" s="4" t="s">
        <v>96</v>
      </c>
      <c r="E28" s="67" t="s">
        <v>147</v>
      </c>
      <c r="F28" s="12" t="s">
        <v>147</v>
      </c>
      <c r="G28" s="12" t="s">
        <v>147</v>
      </c>
      <c r="H28" s="12" t="s">
        <v>147</v>
      </c>
      <c r="I28" s="12" t="s">
        <v>147</v>
      </c>
      <c r="J28" s="12"/>
      <c r="K28" s="12"/>
      <c r="L28" s="12" t="s">
        <v>147</v>
      </c>
      <c r="M28" s="12" t="s">
        <v>147</v>
      </c>
      <c r="N28" s="12" t="s">
        <v>147</v>
      </c>
      <c r="O28" s="12" t="s">
        <v>147</v>
      </c>
      <c r="P28" s="12" t="s">
        <v>147</v>
      </c>
      <c r="Q28" s="12"/>
      <c r="R28" s="64"/>
      <c r="S28" s="12" t="s">
        <v>147</v>
      </c>
      <c r="T28" s="12"/>
      <c r="U28" s="12" t="s">
        <v>147</v>
      </c>
      <c r="V28" s="12" t="s">
        <v>147</v>
      </c>
      <c r="W28" s="12" t="s">
        <v>147</v>
      </c>
      <c r="X28" s="12"/>
      <c r="Y28" s="12"/>
      <c r="Z28" s="12" t="s">
        <v>147</v>
      </c>
      <c r="AA28" s="12" t="s">
        <v>147</v>
      </c>
      <c r="AB28" s="12" t="s">
        <v>147</v>
      </c>
      <c r="AC28" s="12" t="s">
        <v>147</v>
      </c>
      <c r="AD28" s="12" t="s">
        <v>147</v>
      </c>
      <c r="AE28" s="12"/>
      <c r="AF28" s="12"/>
      <c r="AG28" s="12" t="s">
        <v>147</v>
      </c>
      <c r="AH28" s="12" t="s">
        <v>147</v>
      </c>
      <c r="AI28" s="6"/>
      <c r="AJ28" s="12">
        <v>1</v>
      </c>
      <c r="AK28" s="12">
        <f t="shared" si="6"/>
        <v>0</v>
      </c>
      <c r="AL28" s="12">
        <f t="shared" si="6"/>
        <v>0</v>
      </c>
      <c r="AM28" s="12">
        <f t="shared" si="3"/>
        <v>0</v>
      </c>
      <c r="AN28" s="3"/>
      <c r="AO28" s="15">
        <f t="shared" si="7"/>
        <v>0</v>
      </c>
      <c r="AP28" s="15">
        <f t="shared" si="7"/>
        <v>0</v>
      </c>
      <c r="AQ28" s="15">
        <f t="shared" si="7"/>
        <v>0</v>
      </c>
      <c r="AR28" s="15">
        <f t="shared" si="7"/>
        <v>0</v>
      </c>
      <c r="AS28" s="15">
        <f t="shared" si="7"/>
        <v>0</v>
      </c>
      <c r="AT28" s="15">
        <f t="shared" si="7"/>
        <v>0</v>
      </c>
      <c r="AU28" s="15">
        <f t="shared" si="7"/>
        <v>0</v>
      </c>
      <c r="AV28" s="15">
        <f t="shared" si="4"/>
        <v>0</v>
      </c>
      <c r="AX28" s="6"/>
      <c r="AY28" s="6"/>
      <c r="AZ28" s="6"/>
      <c r="BA28" s="6"/>
      <c r="BB28" s="6"/>
      <c r="BC28" s="6"/>
    </row>
    <row r="29" spans="1:55" s="6" customFormat="1" ht="24.95" customHeight="1">
      <c r="A29" s="10">
        <f t="shared" si="2"/>
        <v>25</v>
      </c>
      <c r="B29" s="4" t="s">
        <v>30</v>
      </c>
      <c r="C29" s="57">
        <v>13322</v>
      </c>
      <c r="D29" s="4" t="s">
        <v>135</v>
      </c>
      <c r="E29" s="12"/>
      <c r="F29" s="12" t="s">
        <v>147</v>
      </c>
      <c r="G29" s="12" t="s">
        <v>147</v>
      </c>
      <c r="H29" s="12" t="s">
        <v>147</v>
      </c>
      <c r="I29" s="12" t="s">
        <v>147</v>
      </c>
      <c r="J29" s="12"/>
      <c r="K29" s="12"/>
      <c r="L29" s="12" t="s">
        <v>147</v>
      </c>
      <c r="M29" s="64">
        <v>1901</v>
      </c>
      <c r="N29" s="12" t="s">
        <v>147</v>
      </c>
      <c r="O29" s="64">
        <v>1901</v>
      </c>
      <c r="P29" s="64">
        <v>1901</v>
      </c>
      <c r="Q29" s="12"/>
      <c r="R29" s="12"/>
      <c r="S29" s="12" t="s">
        <v>147</v>
      </c>
      <c r="T29" s="12"/>
      <c r="U29" s="64">
        <v>1901</v>
      </c>
      <c r="V29" s="12" t="s">
        <v>147</v>
      </c>
      <c r="W29" s="12" t="s">
        <v>147</v>
      </c>
      <c r="X29" s="12"/>
      <c r="Y29" s="12"/>
      <c r="Z29" s="12" t="s">
        <v>147</v>
      </c>
      <c r="AA29" s="12" t="s">
        <v>147</v>
      </c>
      <c r="AB29" s="12" t="s">
        <v>147</v>
      </c>
      <c r="AC29" s="12" t="s">
        <v>147</v>
      </c>
      <c r="AD29" s="12" t="s">
        <v>147</v>
      </c>
      <c r="AE29" s="12"/>
      <c r="AF29" s="12"/>
      <c r="AG29" s="12" t="s">
        <v>147</v>
      </c>
      <c r="AH29" s="12" t="s">
        <v>147</v>
      </c>
      <c r="AJ29" s="12"/>
      <c r="AK29" s="12">
        <f t="shared" si="6"/>
        <v>0</v>
      </c>
      <c r="AL29" s="12">
        <f t="shared" si="6"/>
        <v>0</v>
      </c>
      <c r="AM29" s="12">
        <f t="shared" si="3"/>
        <v>0</v>
      </c>
      <c r="AN29" s="3"/>
      <c r="AO29" s="15">
        <f t="shared" si="7"/>
        <v>4</v>
      </c>
      <c r="AP29" s="15">
        <f t="shared" si="7"/>
        <v>0</v>
      </c>
      <c r="AQ29" s="15">
        <f t="shared" si="7"/>
        <v>0</v>
      </c>
      <c r="AR29" s="15">
        <f t="shared" si="7"/>
        <v>0</v>
      </c>
      <c r="AS29" s="15">
        <f t="shared" si="7"/>
        <v>0</v>
      </c>
      <c r="AT29" s="15">
        <f t="shared" si="7"/>
        <v>0</v>
      </c>
      <c r="AU29" s="15">
        <f t="shared" si="7"/>
        <v>0</v>
      </c>
      <c r="AV29" s="15">
        <f t="shared" si="4"/>
        <v>4</v>
      </c>
    </row>
    <row r="30" spans="1:55" s="6" customFormat="1" ht="24.95" customHeight="1">
      <c r="A30" s="10">
        <f t="shared" si="2"/>
        <v>26</v>
      </c>
      <c r="B30" s="4" t="s">
        <v>31</v>
      </c>
      <c r="C30" s="57">
        <v>13337</v>
      </c>
      <c r="D30" s="4" t="s">
        <v>136</v>
      </c>
      <c r="E30" s="12"/>
      <c r="F30" s="12" t="s">
        <v>147</v>
      </c>
      <c r="G30" s="12" t="s">
        <v>147</v>
      </c>
      <c r="H30" s="12" t="s">
        <v>147</v>
      </c>
      <c r="I30" s="12" t="s">
        <v>147</v>
      </c>
      <c r="J30" s="12"/>
      <c r="K30" s="12"/>
      <c r="L30" s="64">
        <v>1901</v>
      </c>
      <c r="M30" s="12" t="s">
        <v>147</v>
      </c>
      <c r="N30" s="12" t="s">
        <v>147</v>
      </c>
      <c r="O30" s="12" t="s">
        <v>147</v>
      </c>
      <c r="P30" s="12" t="s">
        <v>147</v>
      </c>
      <c r="Q30" s="12"/>
      <c r="R30" s="12"/>
      <c r="S30" s="12" t="s">
        <v>147</v>
      </c>
      <c r="T30" s="12"/>
      <c r="U30" s="12" t="s">
        <v>147</v>
      </c>
      <c r="V30" s="12" t="s">
        <v>147</v>
      </c>
      <c r="W30" s="65" t="s">
        <v>147</v>
      </c>
      <c r="X30" s="12"/>
      <c r="Y30" s="12"/>
      <c r="Z30" s="12" t="s">
        <v>147</v>
      </c>
      <c r="AA30" s="65" t="s">
        <v>147</v>
      </c>
      <c r="AB30" s="12" t="s">
        <v>147</v>
      </c>
      <c r="AC30" s="64">
        <v>1902</v>
      </c>
      <c r="AD30" s="64">
        <v>1902</v>
      </c>
      <c r="AE30" s="12"/>
      <c r="AF30" s="12"/>
      <c r="AG30" s="12" t="s">
        <v>147</v>
      </c>
      <c r="AH30" s="12" t="s">
        <v>147</v>
      </c>
      <c r="AJ30" s="12"/>
      <c r="AK30" s="12">
        <f t="shared" si="6"/>
        <v>0</v>
      </c>
      <c r="AL30" s="12">
        <f t="shared" si="6"/>
        <v>0</v>
      </c>
      <c r="AM30" s="12">
        <f t="shared" si="3"/>
        <v>0</v>
      </c>
      <c r="AN30" s="3"/>
      <c r="AO30" s="15">
        <f t="shared" si="7"/>
        <v>1</v>
      </c>
      <c r="AP30" s="15">
        <f t="shared" si="7"/>
        <v>2</v>
      </c>
      <c r="AQ30" s="15">
        <f t="shared" si="7"/>
        <v>0</v>
      </c>
      <c r="AR30" s="15">
        <f t="shared" si="7"/>
        <v>0</v>
      </c>
      <c r="AS30" s="15">
        <f t="shared" si="7"/>
        <v>0</v>
      </c>
      <c r="AT30" s="15">
        <f t="shared" si="7"/>
        <v>0</v>
      </c>
      <c r="AU30" s="15">
        <f t="shared" si="7"/>
        <v>0</v>
      </c>
      <c r="AV30" s="15">
        <f t="shared" si="4"/>
        <v>3</v>
      </c>
    </row>
    <row r="31" spans="1:55" s="6" customFormat="1" ht="24.95" customHeight="1">
      <c r="A31" s="10">
        <f t="shared" si="2"/>
        <v>27</v>
      </c>
      <c r="B31" s="4" t="s">
        <v>32</v>
      </c>
      <c r="C31" s="57">
        <v>13346</v>
      </c>
      <c r="D31" s="4" t="s">
        <v>137</v>
      </c>
      <c r="E31" s="12" t="s">
        <v>147</v>
      </c>
      <c r="F31" s="12" t="s">
        <v>147</v>
      </c>
      <c r="G31" s="12" t="s">
        <v>147</v>
      </c>
      <c r="H31" s="12" t="s">
        <v>147</v>
      </c>
      <c r="I31" s="12" t="s">
        <v>147</v>
      </c>
      <c r="J31" s="12" t="s">
        <v>147</v>
      </c>
      <c r="K31" s="12"/>
      <c r="L31" s="12" t="s">
        <v>147</v>
      </c>
      <c r="M31" s="12" t="s">
        <v>147</v>
      </c>
      <c r="N31" s="12" t="s">
        <v>147</v>
      </c>
      <c r="O31" s="12" t="s">
        <v>147</v>
      </c>
      <c r="P31" s="12" t="s">
        <v>147</v>
      </c>
      <c r="Q31" s="12" t="s">
        <v>147</v>
      </c>
      <c r="R31" s="12"/>
      <c r="S31" s="12" t="s">
        <v>147</v>
      </c>
      <c r="T31" s="12" t="s">
        <v>147</v>
      </c>
      <c r="U31" s="12" t="s">
        <v>147</v>
      </c>
      <c r="V31" s="12" t="s">
        <v>147</v>
      </c>
      <c r="W31" s="12" t="s">
        <v>147</v>
      </c>
      <c r="X31" s="12"/>
      <c r="Y31" s="12"/>
      <c r="Z31" s="12" t="s">
        <v>147</v>
      </c>
      <c r="AA31" s="12" t="s">
        <v>147</v>
      </c>
      <c r="AB31" s="12" t="s">
        <v>147</v>
      </c>
      <c r="AC31" s="12" t="s">
        <v>147</v>
      </c>
      <c r="AD31" s="12" t="s">
        <v>147</v>
      </c>
      <c r="AE31" s="12" t="s">
        <v>147</v>
      </c>
      <c r="AF31" s="12" t="s">
        <v>147</v>
      </c>
      <c r="AG31" s="12" t="s">
        <v>147</v>
      </c>
      <c r="AH31" s="12" t="s">
        <v>147</v>
      </c>
      <c r="AJ31" s="12"/>
      <c r="AK31" s="12">
        <f t="shared" si="6"/>
        <v>0</v>
      </c>
      <c r="AL31" s="12">
        <f t="shared" si="6"/>
        <v>0</v>
      </c>
      <c r="AM31" s="12">
        <f t="shared" si="3"/>
        <v>0</v>
      </c>
      <c r="AN31" s="3"/>
      <c r="AO31" s="15">
        <f t="shared" si="7"/>
        <v>0</v>
      </c>
      <c r="AP31" s="15">
        <f t="shared" si="7"/>
        <v>0</v>
      </c>
      <c r="AQ31" s="15">
        <f t="shared" si="7"/>
        <v>0</v>
      </c>
      <c r="AR31" s="15">
        <f t="shared" si="7"/>
        <v>0</v>
      </c>
      <c r="AS31" s="15">
        <f t="shared" si="7"/>
        <v>0</v>
      </c>
      <c r="AT31" s="15">
        <f t="shared" si="7"/>
        <v>0</v>
      </c>
      <c r="AU31" s="15">
        <f t="shared" si="7"/>
        <v>0</v>
      </c>
      <c r="AV31" s="15">
        <f t="shared" si="4"/>
        <v>0</v>
      </c>
    </row>
    <row r="32" spans="1:55" s="6" customFormat="1" ht="24.95" customHeight="1">
      <c r="A32" s="10">
        <f t="shared" si="2"/>
        <v>28</v>
      </c>
      <c r="B32" s="4" t="s">
        <v>33</v>
      </c>
      <c r="C32" s="57">
        <v>13377</v>
      </c>
      <c r="D32" s="4" t="s">
        <v>131</v>
      </c>
      <c r="E32" s="12"/>
      <c r="F32" s="12" t="s">
        <v>147</v>
      </c>
      <c r="G32" s="12" t="s">
        <v>147</v>
      </c>
      <c r="H32" s="12" t="s">
        <v>147</v>
      </c>
      <c r="I32" s="12" t="s">
        <v>147</v>
      </c>
      <c r="J32" s="12"/>
      <c r="K32" s="12"/>
      <c r="L32" s="12" t="s">
        <v>147</v>
      </c>
      <c r="M32" s="12" t="s">
        <v>147</v>
      </c>
      <c r="N32" s="12" t="s">
        <v>147</v>
      </c>
      <c r="O32" s="12" t="s">
        <v>147</v>
      </c>
      <c r="P32" s="12" t="s">
        <v>147</v>
      </c>
      <c r="Q32" s="12"/>
      <c r="R32" s="12"/>
      <c r="S32" s="64">
        <v>1901</v>
      </c>
      <c r="T32" s="12"/>
      <c r="U32" s="12" t="s">
        <v>147</v>
      </c>
      <c r="V32" s="12" t="s">
        <v>147</v>
      </c>
      <c r="W32" s="12" t="s">
        <v>147</v>
      </c>
      <c r="X32" s="12"/>
      <c r="Y32" s="12"/>
      <c r="Z32" s="12" t="s">
        <v>147</v>
      </c>
      <c r="AA32" s="12" t="s">
        <v>147</v>
      </c>
      <c r="AB32" s="12" t="s">
        <v>147</v>
      </c>
      <c r="AC32" s="12" t="s">
        <v>147</v>
      </c>
      <c r="AD32" s="12" t="s">
        <v>147</v>
      </c>
      <c r="AE32" s="12"/>
      <c r="AF32" s="12"/>
      <c r="AG32" s="12" t="s">
        <v>147</v>
      </c>
      <c r="AH32" s="12" t="s">
        <v>147</v>
      </c>
      <c r="AJ32" s="12"/>
      <c r="AK32" s="12">
        <f t="shared" si="6"/>
        <v>0</v>
      </c>
      <c r="AL32" s="12">
        <f t="shared" si="6"/>
        <v>0</v>
      </c>
      <c r="AM32" s="12">
        <f t="shared" si="3"/>
        <v>0</v>
      </c>
      <c r="AN32" s="3"/>
      <c r="AO32" s="15">
        <f t="shared" si="7"/>
        <v>1</v>
      </c>
      <c r="AP32" s="15">
        <f t="shared" si="7"/>
        <v>0</v>
      </c>
      <c r="AQ32" s="15">
        <f t="shared" si="7"/>
        <v>0</v>
      </c>
      <c r="AR32" s="15">
        <f t="shared" si="7"/>
        <v>0</v>
      </c>
      <c r="AS32" s="15">
        <f t="shared" si="7"/>
        <v>0</v>
      </c>
      <c r="AT32" s="15">
        <f t="shared" si="7"/>
        <v>0</v>
      </c>
      <c r="AU32" s="15">
        <f t="shared" si="7"/>
        <v>0</v>
      </c>
      <c r="AV32" s="15">
        <f t="shared" si="4"/>
        <v>1</v>
      </c>
    </row>
    <row r="33" spans="1:48" s="6" customFormat="1" ht="24.95" customHeight="1">
      <c r="A33" s="10">
        <f t="shared" si="2"/>
        <v>29</v>
      </c>
      <c r="B33" s="4" t="s">
        <v>34</v>
      </c>
      <c r="C33" s="57">
        <v>13661</v>
      </c>
      <c r="D33" s="4" t="s">
        <v>141</v>
      </c>
      <c r="E33" s="12"/>
      <c r="F33" s="12" t="s">
        <v>147</v>
      </c>
      <c r="G33" s="12" t="s">
        <v>147</v>
      </c>
      <c r="H33" s="12" t="s">
        <v>147</v>
      </c>
      <c r="I33" s="12" t="s">
        <v>147</v>
      </c>
      <c r="J33" s="12"/>
      <c r="K33" s="12"/>
      <c r="L33" s="12" t="s">
        <v>147</v>
      </c>
      <c r="M33" s="12" t="s">
        <v>147</v>
      </c>
      <c r="N33" s="12" t="s">
        <v>147</v>
      </c>
      <c r="O33" s="12" t="s">
        <v>147</v>
      </c>
      <c r="P33" s="12" t="s">
        <v>147</v>
      </c>
      <c r="Q33" s="12"/>
      <c r="R33" s="12"/>
      <c r="S33" s="12" t="s">
        <v>147</v>
      </c>
      <c r="T33" s="12"/>
      <c r="U33" s="12" t="s">
        <v>147</v>
      </c>
      <c r="V33" s="12" t="s">
        <v>147</v>
      </c>
      <c r="W33" s="12" t="s">
        <v>147</v>
      </c>
      <c r="X33" s="12"/>
      <c r="Y33" s="12"/>
      <c r="Z33" s="12" t="s">
        <v>147</v>
      </c>
      <c r="AA33" s="12" t="s">
        <v>147</v>
      </c>
      <c r="AB33" s="12" t="s">
        <v>147</v>
      </c>
      <c r="AC33" s="12" t="s">
        <v>147</v>
      </c>
      <c r="AD33" s="12" t="s">
        <v>147</v>
      </c>
      <c r="AE33" s="12"/>
      <c r="AF33" s="64"/>
      <c r="AG33" s="12" t="s">
        <v>147</v>
      </c>
      <c r="AH33" s="12" t="s">
        <v>147</v>
      </c>
      <c r="AJ33" s="12"/>
      <c r="AK33" s="12">
        <f t="shared" si="6"/>
        <v>0</v>
      </c>
      <c r="AL33" s="12">
        <f t="shared" si="6"/>
        <v>0</v>
      </c>
      <c r="AM33" s="12">
        <f t="shared" si="3"/>
        <v>0</v>
      </c>
      <c r="AN33" s="3"/>
      <c r="AO33" s="15">
        <f t="shared" si="7"/>
        <v>0</v>
      </c>
      <c r="AP33" s="15">
        <f t="shared" si="7"/>
        <v>0</v>
      </c>
      <c r="AQ33" s="15">
        <f t="shared" si="7"/>
        <v>0</v>
      </c>
      <c r="AR33" s="15">
        <f t="shared" si="7"/>
        <v>0</v>
      </c>
      <c r="AS33" s="15">
        <f t="shared" si="7"/>
        <v>0</v>
      </c>
      <c r="AT33" s="15">
        <f t="shared" si="7"/>
        <v>0</v>
      </c>
      <c r="AU33" s="15">
        <f t="shared" si="7"/>
        <v>0</v>
      </c>
      <c r="AV33" s="15">
        <f t="shared" si="4"/>
        <v>0</v>
      </c>
    </row>
    <row r="34" spans="1:48" s="6" customFormat="1" ht="24.95" customHeight="1">
      <c r="A34" s="10">
        <f t="shared" si="2"/>
        <v>30</v>
      </c>
      <c r="B34" s="62" t="s">
        <v>35</v>
      </c>
      <c r="C34" s="58">
        <v>13751</v>
      </c>
      <c r="D34" s="4" t="s">
        <v>88</v>
      </c>
      <c r="E34" s="12"/>
      <c r="F34" s="12" t="s">
        <v>147</v>
      </c>
      <c r="G34" s="12" t="s">
        <v>147</v>
      </c>
      <c r="H34" s="12" t="s">
        <v>147</v>
      </c>
      <c r="I34" s="12" t="s">
        <v>147</v>
      </c>
      <c r="K34" s="12"/>
      <c r="L34" s="12" t="s">
        <v>147</v>
      </c>
      <c r="M34" s="12" t="s">
        <v>147</v>
      </c>
      <c r="N34" s="12" t="s">
        <v>147</v>
      </c>
      <c r="O34" s="12" t="s">
        <v>147</v>
      </c>
      <c r="P34" s="12" t="s">
        <v>147</v>
      </c>
      <c r="R34" s="64"/>
      <c r="S34" s="64">
        <v>1901</v>
      </c>
      <c r="T34" s="64"/>
      <c r="U34" s="12" t="s">
        <v>147</v>
      </c>
      <c r="V34" s="12" t="s">
        <v>147</v>
      </c>
      <c r="W34" s="12" t="s">
        <v>147</v>
      </c>
      <c r="X34" s="64"/>
      <c r="Y34" s="12"/>
      <c r="Z34" s="12" t="s">
        <v>147</v>
      </c>
      <c r="AA34" s="12" t="s">
        <v>147</v>
      </c>
      <c r="AB34" s="64">
        <v>1901</v>
      </c>
      <c r="AC34" s="12" t="s">
        <v>147</v>
      </c>
      <c r="AD34" s="12" t="s">
        <v>147</v>
      </c>
      <c r="AE34" s="12"/>
      <c r="AF34" s="12"/>
      <c r="AG34" s="12" t="s">
        <v>147</v>
      </c>
      <c r="AH34" s="12" t="s">
        <v>147</v>
      </c>
      <c r="AJ34" s="12"/>
      <c r="AK34" s="12">
        <f t="shared" si="6"/>
        <v>0</v>
      </c>
      <c r="AL34" s="12">
        <f t="shared" si="6"/>
        <v>0</v>
      </c>
      <c r="AM34" s="12">
        <f t="shared" si="3"/>
        <v>0</v>
      </c>
      <c r="AN34" s="3"/>
      <c r="AO34" s="15">
        <f t="shared" si="7"/>
        <v>2</v>
      </c>
      <c r="AP34" s="15">
        <f t="shared" si="7"/>
        <v>0</v>
      </c>
      <c r="AQ34" s="15">
        <f t="shared" si="7"/>
        <v>0</v>
      </c>
      <c r="AR34" s="15">
        <f t="shared" si="7"/>
        <v>0</v>
      </c>
      <c r="AS34" s="15">
        <f t="shared" si="7"/>
        <v>0</v>
      </c>
      <c r="AT34" s="15">
        <f t="shared" si="7"/>
        <v>0</v>
      </c>
      <c r="AU34" s="15">
        <f t="shared" si="7"/>
        <v>0</v>
      </c>
      <c r="AV34" s="15">
        <f t="shared" si="4"/>
        <v>2</v>
      </c>
    </row>
    <row r="35" spans="1:48" s="6" customFormat="1" ht="24.95" customHeight="1">
      <c r="A35" s="10">
        <f t="shared" si="2"/>
        <v>31</v>
      </c>
      <c r="B35" s="4" t="s">
        <v>104</v>
      </c>
      <c r="C35" s="57">
        <v>13844</v>
      </c>
      <c r="D35" s="4" t="s">
        <v>105</v>
      </c>
      <c r="E35" s="64" t="s">
        <v>5</v>
      </c>
      <c r="F35" s="12" t="s">
        <v>147</v>
      </c>
      <c r="G35" s="12" t="s">
        <v>147</v>
      </c>
      <c r="H35" s="12" t="s">
        <v>147</v>
      </c>
      <c r="I35" s="12" t="s">
        <v>147</v>
      </c>
      <c r="J35" s="12"/>
      <c r="K35" s="12"/>
      <c r="L35" s="12" t="s">
        <v>147</v>
      </c>
      <c r="M35" s="12" t="s">
        <v>147</v>
      </c>
      <c r="N35" s="12" t="s">
        <v>147</v>
      </c>
      <c r="O35" s="12" t="s">
        <v>147</v>
      </c>
      <c r="P35" s="64">
        <v>1901</v>
      </c>
      <c r="Q35" s="12"/>
      <c r="R35" s="12"/>
      <c r="S35" s="12" t="s">
        <v>147</v>
      </c>
      <c r="T35" s="12"/>
      <c r="U35" s="12" t="s">
        <v>147</v>
      </c>
      <c r="V35" s="12" t="s">
        <v>147</v>
      </c>
      <c r="W35" s="12" t="s">
        <v>147</v>
      </c>
      <c r="X35" s="64"/>
      <c r="Y35" s="64"/>
      <c r="Z35" s="12" t="s">
        <v>147</v>
      </c>
      <c r="AA35" s="12" t="s">
        <v>147</v>
      </c>
      <c r="AB35" s="12" t="s">
        <v>147</v>
      </c>
      <c r="AC35" s="12" t="s">
        <v>147</v>
      </c>
      <c r="AD35" s="12" t="s">
        <v>147</v>
      </c>
      <c r="AE35" s="12"/>
      <c r="AF35" s="64"/>
      <c r="AG35" s="12" t="s">
        <v>147</v>
      </c>
      <c r="AH35" s="12" t="s">
        <v>147</v>
      </c>
      <c r="AJ35" s="12"/>
      <c r="AK35" s="12">
        <f t="shared" si="6"/>
        <v>0</v>
      </c>
      <c r="AL35" s="12">
        <f t="shared" si="6"/>
        <v>1</v>
      </c>
      <c r="AM35" s="12">
        <f t="shared" si="3"/>
        <v>1</v>
      </c>
      <c r="AN35" s="3"/>
      <c r="AO35" s="15">
        <f t="shared" ref="AO35:AU44" si="8">COUNTIF($E35:$AH35,AO$4)</f>
        <v>1</v>
      </c>
      <c r="AP35" s="15">
        <f t="shared" si="8"/>
        <v>0</v>
      </c>
      <c r="AQ35" s="15">
        <f t="shared" si="8"/>
        <v>0</v>
      </c>
      <c r="AR35" s="15">
        <f t="shared" si="8"/>
        <v>0</v>
      </c>
      <c r="AS35" s="15">
        <f t="shared" si="8"/>
        <v>0</v>
      </c>
      <c r="AT35" s="15">
        <f t="shared" si="8"/>
        <v>0</v>
      </c>
      <c r="AU35" s="15">
        <f t="shared" si="8"/>
        <v>0</v>
      </c>
      <c r="AV35" s="15">
        <f t="shared" si="4"/>
        <v>1</v>
      </c>
    </row>
    <row r="36" spans="1:48" s="6" customFormat="1" ht="24.95" customHeight="1">
      <c r="A36" s="10">
        <f t="shared" si="2"/>
        <v>32</v>
      </c>
      <c r="B36" s="62" t="s">
        <v>36</v>
      </c>
      <c r="C36" s="58">
        <v>13913</v>
      </c>
      <c r="D36" s="4" t="s">
        <v>63</v>
      </c>
      <c r="E36" s="12"/>
      <c r="F36" s="12" t="s">
        <v>147</v>
      </c>
      <c r="G36" s="12" t="s">
        <v>147</v>
      </c>
      <c r="H36" s="12" t="s">
        <v>147</v>
      </c>
      <c r="I36" s="12" t="s">
        <v>147</v>
      </c>
      <c r="J36" s="12"/>
      <c r="K36" s="12"/>
      <c r="L36" s="12" t="s">
        <v>147</v>
      </c>
      <c r="M36" s="12" t="s">
        <v>147</v>
      </c>
      <c r="N36" s="12" t="s">
        <v>147</v>
      </c>
      <c r="O36" s="12" t="s">
        <v>147</v>
      </c>
      <c r="P36" s="12" t="s">
        <v>147</v>
      </c>
      <c r="Q36" s="12"/>
      <c r="R36" s="12"/>
      <c r="S36" s="12" t="s">
        <v>147</v>
      </c>
      <c r="T36" s="12"/>
      <c r="U36" s="12" t="s">
        <v>147</v>
      </c>
      <c r="V36" s="12" t="s">
        <v>147</v>
      </c>
      <c r="W36" s="12" t="s">
        <v>147</v>
      </c>
      <c r="X36" s="12"/>
      <c r="Y36" s="12"/>
      <c r="Z36" s="12" t="s">
        <v>147</v>
      </c>
      <c r="AA36" s="12" t="s">
        <v>147</v>
      </c>
      <c r="AB36" s="12" t="s">
        <v>147</v>
      </c>
      <c r="AC36" s="12" t="s">
        <v>147</v>
      </c>
      <c r="AD36" s="12" t="s">
        <v>147</v>
      </c>
      <c r="AE36" s="12"/>
      <c r="AF36" s="64"/>
      <c r="AG36" s="12" t="s">
        <v>147</v>
      </c>
      <c r="AH36" s="12" t="s">
        <v>147</v>
      </c>
      <c r="AJ36" s="12"/>
      <c r="AK36" s="12">
        <f t="shared" si="6"/>
        <v>0</v>
      </c>
      <c r="AL36" s="12">
        <f t="shared" si="6"/>
        <v>0</v>
      </c>
      <c r="AM36" s="12">
        <f t="shared" si="3"/>
        <v>0</v>
      </c>
      <c r="AN36" s="3"/>
      <c r="AO36" s="15">
        <f t="shared" si="8"/>
        <v>0</v>
      </c>
      <c r="AP36" s="15">
        <f t="shared" si="8"/>
        <v>0</v>
      </c>
      <c r="AQ36" s="15">
        <f t="shared" si="8"/>
        <v>0</v>
      </c>
      <c r="AR36" s="15">
        <f t="shared" si="8"/>
        <v>0</v>
      </c>
      <c r="AS36" s="15">
        <f t="shared" si="8"/>
        <v>0</v>
      </c>
      <c r="AT36" s="15">
        <f t="shared" si="8"/>
        <v>0</v>
      </c>
      <c r="AU36" s="15">
        <f t="shared" si="8"/>
        <v>0</v>
      </c>
      <c r="AV36" s="15">
        <f t="shared" si="4"/>
        <v>0</v>
      </c>
    </row>
    <row r="37" spans="1:48" s="6" customFormat="1" ht="24.95" customHeight="1">
      <c r="A37" s="10">
        <f t="shared" si="2"/>
        <v>33</v>
      </c>
      <c r="B37" s="4" t="s">
        <v>68</v>
      </c>
      <c r="C37" s="57">
        <v>14028</v>
      </c>
      <c r="D37" s="4" t="s">
        <v>77</v>
      </c>
      <c r="E37" s="12"/>
      <c r="F37" s="12" t="s">
        <v>147</v>
      </c>
      <c r="G37" s="12" t="s">
        <v>147</v>
      </c>
      <c r="H37" s="12" t="s">
        <v>147</v>
      </c>
      <c r="I37" s="12" t="s">
        <v>147</v>
      </c>
      <c r="J37" s="12"/>
      <c r="K37" s="12"/>
      <c r="L37" s="12" t="s">
        <v>147</v>
      </c>
      <c r="M37" s="12" t="s">
        <v>147</v>
      </c>
      <c r="N37" s="12" t="s">
        <v>147</v>
      </c>
      <c r="O37" s="12" t="s">
        <v>147</v>
      </c>
      <c r="P37" s="12" t="s">
        <v>147</v>
      </c>
      <c r="Q37" s="12"/>
      <c r="R37" s="12"/>
      <c r="S37" s="12" t="s">
        <v>147</v>
      </c>
      <c r="T37" s="12"/>
      <c r="U37" s="12" t="s">
        <v>147</v>
      </c>
      <c r="V37" s="12" t="s">
        <v>147</v>
      </c>
      <c r="W37" s="65" t="s">
        <v>147</v>
      </c>
      <c r="X37" s="12"/>
      <c r="Y37" s="12"/>
      <c r="Z37" s="12" t="s">
        <v>147</v>
      </c>
      <c r="AA37" s="12" t="s">
        <v>147</v>
      </c>
      <c r="AB37" s="12" t="s">
        <v>147</v>
      </c>
      <c r="AC37" s="12" t="s">
        <v>147</v>
      </c>
      <c r="AD37" s="12" t="s">
        <v>147</v>
      </c>
      <c r="AE37" s="12"/>
      <c r="AF37" s="64"/>
      <c r="AG37" s="12" t="s">
        <v>147</v>
      </c>
      <c r="AH37" s="12" t="s">
        <v>147</v>
      </c>
      <c r="AJ37" s="12"/>
      <c r="AK37" s="12">
        <f t="shared" si="6"/>
        <v>0</v>
      </c>
      <c r="AL37" s="12">
        <f t="shared" si="6"/>
        <v>0</v>
      </c>
      <c r="AM37" s="12">
        <f t="shared" si="3"/>
        <v>0</v>
      </c>
      <c r="AN37" s="3"/>
      <c r="AO37" s="15">
        <f t="shared" si="8"/>
        <v>0</v>
      </c>
      <c r="AP37" s="15">
        <f t="shared" si="8"/>
        <v>0</v>
      </c>
      <c r="AQ37" s="15">
        <f t="shared" si="8"/>
        <v>0</v>
      </c>
      <c r="AR37" s="15">
        <f t="shared" si="8"/>
        <v>0</v>
      </c>
      <c r="AS37" s="15">
        <f t="shared" si="8"/>
        <v>0</v>
      </c>
      <c r="AT37" s="15">
        <f t="shared" si="8"/>
        <v>0</v>
      </c>
      <c r="AU37" s="15">
        <f t="shared" si="8"/>
        <v>0</v>
      </c>
      <c r="AV37" s="15">
        <f t="shared" si="4"/>
        <v>0</v>
      </c>
    </row>
    <row r="38" spans="1:48" s="6" customFormat="1" ht="24.95" customHeight="1">
      <c r="A38" s="10">
        <f t="shared" ref="A38:A70" si="9">+A37+1</f>
        <v>34</v>
      </c>
      <c r="B38" s="4" t="s">
        <v>39</v>
      </c>
      <c r="C38" s="59">
        <v>14825</v>
      </c>
      <c r="D38" s="4" t="s">
        <v>138</v>
      </c>
      <c r="E38" s="12"/>
      <c r="F38" s="12" t="s">
        <v>147</v>
      </c>
      <c r="G38" s="12" t="s">
        <v>147</v>
      </c>
      <c r="H38" s="12" t="s">
        <v>147</v>
      </c>
      <c r="I38" s="12" t="s">
        <v>147</v>
      </c>
      <c r="J38" s="12"/>
      <c r="K38" s="12"/>
      <c r="L38" s="12" t="s">
        <v>147</v>
      </c>
      <c r="M38" s="12" t="s">
        <v>147</v>
      </c>
      <c r="N38" s="12" t="s">
        <v>147</v>
      </c>
      <c r="O38" s="12" t="s">
        <v>147</v>
      </c>
      <c r="P38" s="12" t="s">
        <v>147</v>
      </c>
      <c r="Q38" s="64"/>
      <c r="R38" s="12"/>
      <c r="S38" s="12" t="s">
        <v>147</v>
      </c>
      <c r="T38" s="12"/>
      <c r="U38" s="12" t="s">
        <v>147</v>
      </c>
      <c r="V38" s="12" t="s">
        <v>147</v>
      </c>
      <c r="W38" s="12" t="s">
        <v>147</v>
      </c>
      <c r="X38" s="12"/>
      <c r="Y38" s="12"/>
      <c r="Z38" s="12" t="s">
        <v>147</v>
      </c>
      <c r="AA38" s="12" t="s">
        <v>147</v>
      </c>
      <c r="AB38" s="12" t="s">
        <v>147</v>
      </c>
      <c r="AC38" s="12" t="s">
        <v>147</v>
      </c>
      <c r="AD38" s="12" t="s">
        <v>147</v>
      </c>
      <c r="AE38" s="12"/>
      <c r="AF38" s="12"/>
      <c r="AG38" s="12" t="s">
        <v>147</v>
      </c>
      <c r="AH38" s="12" t="s">
        <v>147</v>
      </c>
      <c r="AJ38" s="12"/>
      <c r="AK38" s="12">
        <f t="shared" si="6"/>
        <v>0</v>
      </c>
      <c r="AL38" s="12">
        <f t="shared" si="6"/>
        <v>0</v>
      </c>
      <c r="AM38" s="12">
        <f t="shared" si="3"/>
        <v>0</v>
      </c>
      <c r="AN38" s="3"/>
      <c r="AO38" s="15">
        <f t="shared" si="8"/>
        <v>0</v>
      </c>
      <c r="AP38" s="15">
        <f t="shared" si="8"/>
        <v>0</v>
      </c>
      <c r="AQ38" s="15">
        <f t="shared" si="8"/>
        <v>0</v>
      </c>
      <c r="AR38" s="15">
        <f t="shared" si="8"/>
        <v>0</v>
      </c>
      <c r="AS38" s="15">
        <f t="shared" si="8"/>
        <v>0</v>
      </c>
      <c r="AT38" s="15">
        <f t="shared" si="8"/>
        <v>0</v>
      </c>
      <c r="AU38" s="15">
        <f t="shared" si="8"/>
        <v>0</v>
      </c>
      <c r="AV38" s="15">
        <f t="shared" si="4"/>
        <v>0</v>
      </c>
    </row>
    <row r="39" spans="1:48" s="6" customFormat="1" ht="24.95" customHeight="1">
      <c r="A39" s="10">
        <f t="shared" si="9"/>
        <v>35</v>
      </c>
      <c r="B39" s="4" t="s">
        <v>40</v>
      </c>
      <c r="C39" s="57">
        <v>14939</v>
      </c>
      <c r="D39" s="4" t="s">
        <v>139</v>
      </c>
      <c r="E39" s="12"/>
      <c r="F39" s="12" t="s">
        <v>147</v>
      </c>
      <c r="G39" s="12" t="s">
        <v>147</v>
      </c>
      <c r="H39" s="12" t="s">
        <v>147</v>
      </c>
      <c r="I39" s="12" t="s">
        <v>147</v>
      </c>
      <c r="J39" s="12"/>
      <c r="K39" s="12"/>
      <c r="L39" s="64">
        <v>1901</v>
      </c>
      <c r="M39" s="12" t="s">
        <v>147</v>
      </c>
      <c r="N39" s="64" t="s">
        <v>5</v>
      </c>
      <c r="O39" s="64" t="s">
        <v>5</v>
      </c>
      <c r="P39" s="64" t="s">
        <v>5</v>
      </c>
      <c r="Q39" s="64" t="s">
        <v>5</v>
      </c>
      <c r="R39" s="64" t="s">
        <v>5</v>
      </c>
      <c r="S39" s="64" t="s">
        <v>5</v>
      </c>
      <c r="T39" s="64" t="s">
        <v>5</v>
      </c>
      <c r="U39" s="64" t="s">
        <v>5</v>
      </c>
      <c r="V39" s="64" t="s">
        <v>5</v>
      </c>
      <c r="W39" s="64" t="s">
        <v>5</v>
      </c>
      <c r="X39" s="64" t="s">
        <v>5</v>
      </c>
      <c r="Y39" s="64" t="s">
        <v>5</v>
      </c>
      <c r="Z39" s="64" t="s">
        <v>5</v>
      </c>
      <c r="AA39" s="64" t="s">
        <v>5</v>
      </c>
      <c r="AB39" s="64" t="s">
        <v>5</v>
      </c>
      <c r="AC39" s="64" t="s">
        <v>5</v>
      </c>
      <c r="AD39" s="64" t="s">
        <v>5</v>
      </c>
      <c r="AE39" s="64" t="s">
        <v>5</v>
      </c>
      <c r="AF39" s="12"/>
      <c r="AG39" s="64" t="s">
        <v>5</v>
      </c>
      <c r="AH39" s="64" t="s">
        <v>5</v>
      </c>
      <c r="AJ39" s="12"/>
      <c r="AK39" s="12">
        <f t="shared" si="6"/>
        <v>0</v>
      </c>
      <c r="AL39" s="12">
        <f t="shared" si="6"/>
        <v>20</v>
      </c>
      <c r="AM39" s="12">
        <f t="shared" si="3"/>
        <v>20</v>
      </c>
      <c r="AN39" s="3"/>
      <c r="AO39" s="15">
        <f t="shared" si="8"/>
        <v>1</v>
      </c>
      <c r="AP39" s="15">
        <f t="shared" si="8"/>
        <v>0</v>
      </c>
      <c r="AQ39" s="15">
        <f t="shared" si="8"/>
        <v>0</v>
      </c>
      <c r="AR39" s="15">
        <f t="shared" si="8"/>
        <v>0</v>
      </c>
      <c r="AS39" s="15">
        <f t="shared" si="8"/>
        <v>0</v>
      </c>
      <c r="AT39" s="15">
        <f t="shared" si="8"/>
        <v>0</v>
      </c>
      <c r="AU39" s="15">
        <f t="shared" si="8"/>
        <v>0</v>
      </c>
      <c r="AV39" s="15">
        <f t="shared" si="4"/>
        <v>1</v>
      </c>
    </row>
    <row r="40" spans="1:48" s="6" customFormat="1" ht="24.95" customHeight="1">
      <c r="A40" s="10">
        <f t="shared" si="9"/>
        <v>36</v>
      </c>
      <c r="B40" s="4" t="s">
        <v>43</v>
      </c>
      <c r="C40" s="57">
        <v>15621</v>
      </c>
      <c r="D40" s="4" t="s">
        <v>140</v>
      </c>
      <c r="E40" s="67" t="s">
        <v>147</v>
      </c>
      <c r="F40" s="12" t="s">
        <v>147</v>
      </c>
      <c r="G40" s="12" t="s">
        <v>147</v>
      </c>
      <c r="H40" s="12" t="s">
        <v>147</v>
      </c>
      <c r="I40" s="12" t="s">
        <v>147</v>
      </c>
      <c r="J40" s="12"/>
      <c r="K40" s="12"/>
      <c r="L40" s="12" t="s">
        <v>147</v>
      </c>
      <c r="M40" s="12" t="s">
        <v>147</v>
      </c>
      <c r="N40" s="12" t="s">
        <v>147</v>
      </c>
      <c r="O40" s="12" t="s">
        <v>147</v>
      </c>
      <c r="P40" s="12" t="s">
        <v>147</v>
      </c>
      <c r="Q40" s="64"/>
      <c r="R40" s="12"/>
      <c r="S40" s="12" t="s">
        <v>147</v>
      </c>
      <c r="T40" s="12"/>
      <c r="U40" s="12" t="s">
        <v>147</v>
      </c>
      <c r="V40" s="12" t="s">
        <v>147</v>
      </c>
      <c r="W40" s="12" t="s">
        <v>147</v>
      </c>
      <c r="X40" s="12"/>
      <c r="Y40" s="12"/>
      <c r="Z40" s="12" t="s">
        <v>147</v>
      </c>
      <c r="AA40" s="12" t="s">
        <v>147</v>
      </c>
      <c r="AB40" s="12" t="s">
        <v>147</v>
      </c>
      <c r="AC40" s="12" t="s">
        <v>147</v>
      </c>
      <c r="AD40" s="12" t="s">
        <v>147</v>
      </c>
      <c r="AE40" s="12"/>
      <c r="AF40" s="12"/>
      <c r="AG40" s="12" t="s">
        <v>147</v>
      </c>
      <c r="AH40" s="12" t="s">
        <v>147</v>
      </c>
      <c r="AJ40" s="12">
        <v>1</v>
      </c>
      <c r="AK40" s="12">
        <f t="shared" si="6"/>
        <v>0</v>
      </c>
      <c r="AL40" s="12">
        <f t="shared" si="6"/>
        <v>0</v>
      </c>
      <c r="AM40" s="12">
        <f t="shared" si="3"/>
        <v>0</v>
      </c>
      <c r="AN40" s="3"/>
      <c r="AO40" s="15">
        <f t="shared" si="8"/>
        <v>0</v>
      </c>
      <c r="AP40" s="15">
        <f t="shared" si="8"/>
        <v>0</v>
      </c>
      <c r="AQ40" s="15">
        <f t="shared" si="8"/>
        <v>0</v>
      </c>
      <c r="AR40" s="15">
        <f t="shared" si="8"/>
        <v>0</v>
      </c>
      <c r="AS40" s="15">
        <f t="shared" si="8"/>
        <v>0</v>
      </c>
      <c r="AT40" s="15">
        <f t="shared" si="8"/>
        <v>0</v>
      </c>
      <c r="AU40" s="15">
        <f t="shared" si="8"/>
        <v>0</v>
      </c>
      <c r="AV40" s="15">
        <f t="shared" si="4"/>
        <v>0</v>
      </c>
    </row>
    <row r="41" spans="1:48" s="6" customFormat="1" ht="24" customHeight="1">
      <c r="A41" s="10">
        <f t="shared" si="9"/>
        <v>37</v>
      </c>
      <c r="B41" s="4" t="s">
        <v>60</v>
      </c>
      <c r="C41" s="57">
        <v>15896</v>
      </c>
      <c r="D41" s="4" t="s">
        <v>64</v>
      </c>
      <c r="E41" s="64" t="s">
        <v>4</v>
      </c>
      <c r="F41" s="64" t="s">
        <v>4</v>
      </c>
      <c r="G41" s="64" t="s">
        <v>4</v>
      </c>
      <c r="H41" s="64" t="s">
        <v>4</v>
      </c>
      <c r="I41" s="64" t="s">
        <v>4</v>
      </c>
      <c r="J41" s="64" t="s">
        <v>4</v>
      </c>
      <c r="K41" s="64" t="s">
        <v>4</v>
      </c>
      <c r="L41" s="64" t="s">
        <v>4</v>
      </c>
      <c r="M41" s="64" t="s">
        <v>4</v>
      </c>
      <c r="N41" s="64" t="s">
        <v>4</v>
      </c>
      <c r="O41" s="64" t="s">
        <v>4</v>
      </c>
      <c r="P41" s="64" t="s">
        <v>4</v>
      </c>
      <c r="Q41" s="64" t="s">
        <v>4</v>
      </c>
      <c r="R41" s="64" t="s">
        <v>4</v>
      </c>
      <c r="S41" s="64" t="s">
        <v>4</v>
      </c>
      <c r="T41" s="64" t="s">
        <v>4</v>
      </c>
      <c r="U41" s="64" t="s">
        <v>4</v>
      </c>
      <c r="V41" s="64" t="s">
        <v>4</v>
      </c>
      <c r="W41" s="64" t="s">
        <v>4</v>
      </c>
      <c r="X41" s="64" t="s">
        <v>4</v>
      </c>
      <c r="Y41" s="64" t="s">
        <v>4</v>
      </c>
      <c r="Z41" s="64" t="s">
        <v>4</v>
      </c>
      <c r="AA41" s="64" t="s">
        <v>4</v>
      </c>
      <c r="AB41" s="64" t="s">
        <v>4</v>
      </c>
      <c r="AC41" s="64" t="s">
        <v>4</v>
      </c>
      <c r="AD41" s="64" t="s">
        <v>4</v>
      </c>
      <c r="AE41" s="64" t="s">
        <v>4</v>
      </c>
      <c r="AF41" s="64" t="s">
        <v>4</v>
      </c>
      <c r="AG41" s="64" t="s">
        <v>4</v>
      </c>
      <c r="AH41" s="64" t="s">
        <v>4</v>
      </c>
      <c r="AJ41" s="12"/>
      <c r="AK41" s="12">
        <f t="shared" si="6"/>
        <v>30</v>
      </c>
      <c r="AL41" s="12">
        <f t="shared" si="6"/>
        <v>0</v>
      </c>
      <c r="AM41" s="12">
        <f t="shared" si="3"/>
        <v>30</v>
      </c>
      <c r="AN41" s="3"/>
      <c r="AO41" s="15">
        <f t="shared" si="8"/>
        <v>0</v>
      </c>
      <c r="AP41" s="15">
        <f t="shared" si="8"/>
        <v>0</v>
      </c>
      <c r="AQ41" s="15">
        <f t="shared" si="8"/>
        <v>0</v>
      </c>
      <c r="AR41" s="15">
        <f t="shared" si="8"/>
        <v>0</v>
      </c>
      <c r="AS41" s="15">
        <f t="shared" si="8"/>
        <v>0</v>
      </c>
      <c r="AT41" s="15">
        <f t="shared" si="8"/>
        <v>0</v>
      </c>
      <c r="AU41" s="15">
        <f t="shared" si="8"/>
        <v>0</v>
      </c>
      <c r="AV41" s="15">
        <f t="shared" si="4"/>
        <v>0</v>
      </c>
    </row>
    <row r="42" spans="1:48" s="6" customFormat="1" ht="24.95" customHeight="1">
      <c r="A42" s="10">
        <f t="shared" si="9"/>
        <v>38</v>
      </c>
      <c r="B42" s="4" t="s">
        <v>42</v>
      </c>
      <c r="C42" s="57">
        <v>16161</v>
      </c>
      <c r="D42" s="4" t="s">
        <v>128</v>
      </c>
      <c r="E42" s="67" t="s">
        <v>147</v>
      </c>
      <c r="F42" s="12" t="s">
        <v>147</v>
      </c>
      <c r="G42" s="12" t="s">
        <v>147</v>
      </c>
      <c r="H42" s="12" t="s">
        <v>147</v>
      </c>
      <c r="I42" s="12" t="s">
        <v>147</v>
      </c>
      <c r="J42" s="12"/>
      <c r="K42" s="12"/>
      <c r="L42" s="12" t="s">
        <v>147</v>
      </c>
      <c r="M42" s="12" t="s">
        <v>147</v>
      </c>
      <c r="N42" s="12" t="s">
        <v>147</v>
      </c>
      <c r="O42" s="12" t="s">
        <v>147</v>
      </c>
      <c r="P42" s="12" t="s">
        <v>147</v>
      </c>
      <c r="Q42" s="64"/>
      <c r="R42" s="12"/>
      <c r="S42" s="12" t="s">
        <v>147</v>
      </c>
      <c r="T42" s="12"/>
      <c r="U42" s="12" t="s">
        <v>147</v>
      </c>
      <c r="V42" s="12" t="s">
        <v>147</v>
      </c>
      <c r="W42" s="12" t="s">
        <v>147</v>
      </c>
      <c r="X42" s="12"/>
      <c r="Y42" s="12"/>
      <c r="Z42" s="12" t="s">
        <v>147</v>
      </c>
      <c r="AA42" s="12" t="s">
        <v>147</v>
      </c>
      <c r="AB42" s="12" t="s">
        <v>147</v>
      </c>
      <c r="AC42" s="12" t="s">
        <v>147</v>
      </c>
      <c r="AD42" s="12" t="s">
        <v>147</v>
      </c>
      <c r="AE42" s="12"/>
      <c r="AF42" s="12"/>
      <c r="AG42" s="12" t="s">
        <v>147</v>
      </c>
      <c r="AH42" s="12" t="s">
        <v>147</v>
      </c>
      <c r="AJ42" s="12">
        <v>1</v>
      </c>
      <c r="AK42" s="12">
        <f t="shared" si="6"/>
        <v>0</v>
      </c>
      <c r="AL42" s="12">
        <f t="shared" si="6"/>
        <v>0</v>
      </c>
      <c r="AM42" s="12">
        <f t="shared" si="3"/>
        <v>0</v>
      </c>
      <c r="AN42" s="3"/>
      <c r="AO42" s="15">
        <f t="shared" si="8"/>
        <v>0</v>
      </c>
      <c r="AP42" s="15">
        <f t="shared" si="8"/>
        <v>0</v>
      </c>
      <c r="AQ42" s="15">
        <f t="shared" si="8"/>
        <v>0</v>
      </c>
      <c r="AR42" s="15">
        <f t="shared" si="8"/>
        <v>0</v>
      </c>
      <c r="AS42" s="15">
        <f t="shared" si="8"/>
        <v>0</v>
      </c>
      <c r="AT42" s="15">
        <f t="shared" si="8"/>
        <v>0</v>
      </c>
      <c r="AU42" s="15">
        <f t="shared" si="8"/>
        <v>0</v>
      </c>
      <c r="AV42" s="15">
        <f t="shared" si="4"/>
        <v>0</v>
      </c>
    </row>
    <row r="43" spans="1:48" s="6" customFormat="1" ht="24.95" customHeight="1">
      <c r="A43" s="10">
        <f t="shared" si="9"/>
        <v>39</v>
      </c>
      <c r="B43" s="4" t="s">
        <v>69</v>
      </c>
      <c r="C43" s="57">
        <v>16234</v>
      </c>
      <c r="D43" s="4" t="s">
        <v>11</v>
      </c>
      <c r="E43" s="64"/>
      <c r="F43" s="12" t="s">
        <v>147</v>
      </c>
      <c r="G43" s="12" t="s">
        <v>147</v>
      </c>
      <c r="H43" s="12" t="s">
        <v>147</v>
      </c>
      <c r="I43" s="65" t="s">
        <v>147</v>
      </c>
      <c r="J43" s="12"/>
      <c r="K43" s="12"/>
      <c r="L43" s="12" t="s">
        <v>147</v>
      </c>
      <c r="M43" s="12" t="s">
        <v>147</v>
      </c>
      <c r="N43" s="12" t="s">
        <v>147</v>
      </c>
      <c r="O43" s="12" t="s">
        <v>147</v>
      </c>
      <c r="P43" s="12" t="s">
        <v>147</v>
      </c>
      <c r="Q43" s="12"/>
      <c r="R43" s="12"/>
      <c r="S43" s="12" t="s">
        <v>147</v>
      </c>
      <c r="T43" s="12"/>
      <c r="U43" s="12" t="s">
        <v>147</v>
      </c>
      <c r="V43" s="12" t="s">
        <v>147</v>
      </c>
      <c r="W43" s="12" t="s">
        <v>147</v>
      </c>
      <c r="X43" s="12"/>
      <c r="Y43" s="12"/>
      <c r="Z43" s="12" t="s">
        <v>147</v>
      </c>
      <c r="AA43" s="12" t="s">
        <v>147</v>
      </c>
      <c r="AB43" s="12" t="s">
        <v>147</v>
      </c>
      <c r="AC43" s="12" t="s">
        <v>147</v>
      </c>
      <c r="AD43" s="12" t="s">
        <v>147</v>
      </c>
      <c r="AE43" s="12"/>
      <c r="AF43" s="64"/>
      <c r="AG43" s="12" t="s">
        <v>147</v>
      </c>
      <c r="AH43" s="12" t="s">
        <v>147</v>
      </c>
      <c r="AJ43" s="12"/>
      <c r="AK43" s="12">
        <f t="shared" si="6"/>
        <v>0</v>
      </c>
      <c r="AL43" s="12">
        <f t="shared" si="6"/>
        <v>0</v>
      </c>
      <c r="AM43" s="12">
        <f t="shared" si="3"/>
        <v>0</v>
      </c>
      <c r="AN43" s="3"/>
      <c r="AO43" s="15">
        <f t="shared" si="8"/>
        <v>0</v>
      </c>
      <c r="AP43" s="15">
        <f t="shared" si="8"/>
        <v>0</v>
      </c>
      <c r="AQ43" s="15">
        <f t="shared" si="8"/>
        <v>0</v>
      </c>
      <c r="AR43" s="15">
        <f t="shared" si="8"/>
        <v>0</v>
      </c>
      <c r="AS43" s="15">
        <f t="shared" si="8"/>
        <v>0</v>
      </c>
      <c r="AT43" s="15">
        <f t="shared" si="8"/>
        <v>0</v>
      </c>
      <c r="AU43" s="15">
        <f t="shared" si="8"/>
        <v>0</v>
      </c>
      <c r="AV43" s="15">
        <f t="shared" si="4"/>
        <v>0</v>
      </c>
    </row>
    <row r="44" spans="1:48" s="6" customFormat="1" ht="24.95" customHeight="1">
      <c r="A44" s="10">
        <f t="shared" si="9"/>
        <v>40</v>
      </c>
      <c r="B44" s="4" t="s">
        <v>58</v>
      </c>
      <c r="C44" s="57">
        <v>16305</v>
      </c>
      <c r="D44" s="4" t="s">
        <v>22</v>
      </c>
      <c r="E44" s="64" t="s">
        <v>5</v>
      </c>
      <c r="F44" s="64" t="s">
        <v>5</v>
      </c>
      <c r="G44" s="64"/>
      <c r="H44" s="64" t="s">
        <v>5</v>
      </c>
      <c r="I44" s="64" t="s">
        <v>5</v>
      </c>
      <c r="J44" s="64" t="s">
        <v>5</v>
      </c>
      <c r="K44" s="64" t="s">
        <v>5</v>
      </c>
      <c r="L44" s="64" t="s">
        <v>5</v>
      </c>
      <c r="M44" s="64" t="s">
        <v>5</v>
      </c>
      <c r="N44" s="64" t="s">
        <v>5</v>
      </c>
      <c r="O44" s="64" t="s">
        <v>5</v>
      </c>
      <c r="P44" s="64" t="s">
        <v>5</v>
      </c>
      <c r="Q44" s="12"/>
      <c r="R44" s="12"/>
      <c r="S44" s="64"/>
      <c r="T44" s="12"/>
      <c r="U44" s="12" t="s">
        <v>147</v>
      </c>
      <c r="V44" s="12" t="s">
        <v>147</v>
      </c>
      <c r="W44" s="12" t="s">
        <v>147</v>
      </c>
      <c r="X44" s="64"/>
      <c r="Y44" s="64"/>
      <c r="Z44" s="12" t="s">
        <v>147</v>
      </c>
      <c r="AA44" s="12" t="s">
        <v>147</v>
      </c>
      <c r="AB44" s="12" t="s">
        <v>147</v>
      </c>
      <c r="AC44" s="12" t="s">
        <v>147</v>
      </c>
      <c r="AD44" s="12" t="s">
        <v>147</v>
      </c>
      <c r="AE44" s="12"/>
      <c r="AF44" s="64"/>
      <c r="AG44" s="12" t="s">
        <v>147</v>
      </c>
      <c r="AH44" s="12" t="s">
        <v>147</v>
      </c>
      <c r="AJ44" s="12"/>
      <c r="AK44" s="12">
        <f t="shared" si="6"/>
        <v>0</v>
      </c>
      <c r="AL44" s="12">
        <f t="shared" si="6"/>
        <v>11</v>
      </c>
      <c r="AM44" s="12">
        <f t="shared" si="3"/>
        <v>11</v>
      </c>
      <c r="AN44" s="3"/>
      <c r="AO44" s="15">
        <f t="shared" si="8"/>
        <v>0</v>
      </c>
      <c r="AP44" s="15">
        <f t="shared" si="8"/>
        <v>0</v>
      </c>
      <c r="AQ44" s="15">
        <f t="shared" si="8"/>
        <v>0</v>
      </c>
      <c r="AR44" s="15">
        <f t="shared" si="8"/>
        <v>0</v>
      </c>
      <c r="AS44" s="15">
        <f t="shared" si="8"/>
        <v>0</v>
      </c>
      <c r="AT44" s="15">
        <f t="shared" si="8"/>
        <v>0</v>
      </c>
      <c r="AU44" s="15">
        <f t="shared" si="8"/>
        <v>0</v>
      </c>
      <c r="AV44" s="15">
        <f t="shared" si="4"/>
        <v>0</v>
      </c>
    </row>
    <row r="45" spans="1:48" s="6" customFormat="1" ht="24.95" customHeight="1">
      <c r="A45" s="10">
        <f t="shared" si="9"/>
        <v>41</v>
      </c>
      <c r="B45" s="4" t="s">
        <v>71</v>
      </c>
      <c r="C45" s="57">
        <v>16306</v>
      </c>
      <c r="D45" s="4" t="s">
        <v>72</v>
      </c>
      <c r="E45" s="12"/>
      <c r="F45" s="12" t="s">
        <v>147</v>
      </c>
      <c r="G45" s="12" t="s">
        <v>147</v>
      </c>
      <c r="H45" s="12" t="s">
        <v>147</v>
      </c>
      <c r="I45" s="12" t="s">
        <v>147</v>
      </c>
      <c r="J45" s="12"/>
      <c r="K45" s="12"/>
      <c r="L45" s="12" t="s">
        <v>147</v>
      </c>
      <c r="M45" s="12" t="s">
        <v>147</v>
      </c>
      <c r="N45" s="12" t="s">
        <v>147</v>
      </c>
      <c r="O45" s="12" t="s">
        <v>147</v>
      </c>
      <c r="P45" s="12" t="s">
        <v>147</v>
      </c>
      <c r="Q45" s="12"/>
      <c r="R45" s="12"/>
      <c r="S45" s="12" t="s">
        <v>147</v>
      </c>
      <c r="T45" s="12"/>
      <c r="U45" s="64" t="s">
        <v>4</v>
      </c>
      <c r="V45" s="64" t="s">
        <v>4</v>
      </c>
      <c r="W45" s="64" t="s">
        <v>4</v>
      </c>
      <c r="X45" s="64" t="s">
        <v>4</v>
      </c>
      <c r="Y45" s="64" t="s">
        <v>4</v>
      </c>
      <c r="Z45" s="64" t="s">
        <v>4</v>
      </c>
      <c r="AA45" s="64" t="s">
        <v>4</v>
      </c>
      <c r="AB45" s="64" t="s">
        <v>4</v>
      </c>
      <c r="AC45" s="64" t="s">
        <v>4</v>
      </c>
      <c r="AD45" s="12" t="s">
        <v>147</v>
      </c>
      <c r="AE45" s="12"/>
      <c r="AF45" s="12"/>
      <c r="AG45" s="12" t="s">
        <v>147</v>
      </c>
      <c r="AH45" s="12" t="s">
        <v>147</v>
      </c>
      <c r="AJ45" s="12"/>
      <c r="AK45" s="12">
        <f t="shared" ref="AK45:AL64" si="10">COUNTIF($E45:$AH45,AK$4)</f>
        <v>9</v>
      </c>
      <c r="AL45" s="12">
        <f t="shared" si="10"/>
        <v>0</v>
      </c>
      <c r="AM45" s="12">
        <f t="shared" si="3"/>
        <v>9</v>
      </c>
      <c r="AN45" s="3"/>
      <c r="AO45" s="15">
        <f t="shared" ref="AO45:AU54" si="11">COUNTIF($E45:$AH45,AO$4)</f>
        <v>0</v>
      </c>
      <c r="AP45" s="15">
        <f t="shared" si="11"/>
        <v>0</v>
      </c>
      <c r="AQ45" s="15">
        <f t="shared" si="11"/>
        <v>0</v>
      </c>
      <c r="AR45" s="15">
        <f t="shared" si="11"/>
        <v>0</v>
      </c>
      <c r="AS45" s="15">
        <f t="shared" si="11"/>
        <v>0</v>
      </c>
      <c r="AT45" s="15">
        <f t="shared" si="11"/>
        <v>0</v>
      </c>
      <c r="AU45" s="15">
        <f t="shared" si="11"/>
        <v>0</v>
      </c>
      <c r="AV45" s="15">
        <f t="shared" si="4"/>
        <v>0</v>
      </c>
    </row>
    <row r="46" spans="1:48" s="6" customFormat="1" ht="24" customHeight="1">
      <c r="A46" s="10">
        <f t="shared" si="9"/>
        <v>42</v>
      </c>
      <c r="B46" s="4" t="s">
        <v>73</v>
      </c>
      <c r="C46" s="57">
        <v>16391</v>
      </c>
      <c r="D46" s="4" t="s">
        <v>11</v>
      </c>
      <c r="E46" s="12"/>
      <c r="F46" s="12" t="s">
        <v>147</v>
      </c>
      <c r="G46" s="12" t="s">
        <v>147</v>
      </c>
      <c r="H46" s="12" t="s">
        <v>147</v>
      </c>
      <c r="I46" s="12" t="s">
        <v>147</v>
      </c>
      <c r="J46" s="12"/>
      <c r="K46" s="12"/>
      <c r="L46" s="12" t="s">
        <v>147</v>
      </c>
      <c r="M46" s="12" t="s">
        <v>147</v>
      </c>
      <c r="N46" s="12" t="s">
        <v>147</v>
      </c>
      <c r="O46" s="12" t="s">
        <v>147</v>
      </c>
      <c r="P46" s="12" t="s">
        <v>147</v>
      </c>
      <c r="Q46" s="64"/>
      <c r="R46" s="12"/>
      <c r="S46" s="12" t="s">
        <v>147</v>
      </c>
      <c r="T46" s="12"/>
      <c r="U46" s="64">
        <v>1901</v>
      </c>
      <c r="V46" s="12" t="s">
        <v>147</v>
      </c>
      <c r="W46" s="12" t="s">
        <v>147</v>
      </c>
      <c r="X46" s="12"/>
      <c r="Y46" s="12"/>
      <c r="Z46" s="12" t="s">
        <v>147</v>
      </c>
      <c r="AA46" s="12" t="s">
        <v>147</v>
      </c>
      <c r="AB46" s="12" t="s">
        <v>147</v>
      </c>
      <c r="AC46" s="12" t="s">
        <v>147</v>
      </c>
      <c r="AD46" s="12" t="s">
        <v>147</v>
      </c>
      <c r="AE46" s="12"/>
      <c r="AF46" s="12"/>
      <c r="AG46" s="12" t="s">
        <v>147</v>
      </c>
      <c r="AH46" s="12" t="s">
        <v>147</v>
      </c>
      <c r="AJ46" s="12"/>
      <c r="AK46" s="12">
        <f t="shared" si="10"/>
        <v>0</v>
      </c>
      <c r="AL46" s="12">
        <f t="shared" si="10"/>
        <v>0</v>
      </c>
      <c r="AM46" s="12">
        <f t="shared" si="3"/>
        <v>0</v>
      </c>
      <c r="AN46" s="3"/>
      <c r="AO46" s="15">
        <f t="shared" si="11"/>
        <v>1</v>
      </c>
      <c r="AP46" s="15">
        <f t="shared" si="11"/>
        <v>0</v>
      </c>
      <c r="AQ46" s="15">
        <f t="shared" si="11"/>
        <v>0</v>
      </c>
      <c r="AR46" s="15">
        <f t="shared" si="11"/>
        <v>0</v>
      </c>
      <c r="AS46" s="15">
        <f t="shared" si="11"/>
        <v>0</v>
      </c>
      <c r="AT46" s="15">
        <f t="shared" si="11"/>
        <v>0</v>
      </c>
      <c r="AU46" s="15">
        <f t="shared" si="11"/>
        <v>0</v>
      </c>
      <c r="AV46" s="15">
        <f t="shared" si="4"/>
        <v>1</v>
      </c>
    </row>
    <row r="47" spans="1:48" s="6" customFormat="1" ht="24.95" customHeight="1">
      <c r="A47" s="10">
        <f t="shared" si="9"/>
        <v>43</v>
      </c>
      <c r="B47" s="4" t="s">
        <v>59</v>
      </c>
      <c r="C47" s="57">
        <v>16392</v>
      </c>
      <c r="D47" s="4" t="s">
        <v>89</v>
      </c>
      <c r="E47" s="12"/>
      <c r="F47" s="12" t="s">
        <v>147</v>
      </c>
      <c r="G47" s="12" t="s">
        <v>147</v>
      </c>
      <c r="H47" s="12" t="s">
        <v>147</v>
      </c>
      <c r="I47" s="12" t="s">
        <v>147</v>
      </c>
      <c r="J47" s="12"/>
      <c r="K47" s="12"/>
      <c r="L47" s="64">
        <v>1902</v>
      </c>
      <c r="M47" s="64">
        <v>1902</v>
      </c>
      <c r="N47" s="64">
        <v>1902</v>
      </c>
      <c r="O47" s="64">
        <v>1902</v>
      </c>
      <c r="P47" s="64">
        <v>1902</v>
      </c>
      <c r="Q47" s="12"/>
      <c r="R47" s="12"/>
      <c r="S47" s="64">
        <v>1902</v>
      </c>
      <c r="T47" s="12"/>
      <c r="U47" s="64">
        <v>1902</v>
      </c>
      <c r="V47" s="64">
        <v>1902</v>
      </c>
      <c r="W47" s="64">
        <v>1902</v>
      </c>
      <c r="X47" s="12"/>
      <c r="Y47" s="12"/>
      <c r="Z47" s="64">
        <v>1902</v>
      </c>
      <c r="AA47" s="64">
        <v>1902</v>
      </c>
      <c r="AB47" s="64">
        <v>1902</v>
      </c>
      <c r="AC47" s="64">
        <v>1902</v>
      </c>
      <c r="AD47" s="64">
        <v>1902</v>
      </c>
      <c r="AE47" s="12"/>
      <c r="AF47" s="12"/>
      <c r="AG47" s="64">
        <v>1902</v>
      </c>
      <c r="AH47" s="64">
        <v>1902</v>
      </c>
      <c r="AJ47" s="12"/>
      <c r="AK47" s="12">
        <f t="shared" si="10"/>
        <v>0</v>
      </c>
      <c r="AL47" s="12">
        <f t="shared" si="10"/>
        <v>0</v>
      </c>
      <c r="AM47" s="12">
        <f t="shared" si="3"/>
        <v>0</v>
      </c>
      <c r="AN47" s="3"/>
      <c r="AO47" s="15">
        <f t="shared" si="11"/>
        <v>0</v>
      </c>
      <c r="AP47" s="15">
        <f t="shared" si="11"/>
        <v>16</v>
      </c>
      <c r="AQ47" s="15">
        <f t="shared" si="11"/>
        <v>0</v>
      </c>
      <c r="AR47" s="15">
        <f t="shared" si="11"/>
        <v>0</v>
      </c>
      <c r="AS47" s="15">
        <f t="shared" si="11"/>
        <v>0</v>
      </c>
      <c r="AT47" s="15">
        <f t="shared" si="11"/>
        <v>0</v>
      </c>
      <c r="AU47" s="15">
        <f t="shared" si="11"/>
        <v>0</v>
      </c>
      <c r="AV47" s="15">
        <f t="shared" si="4"/>
        <v>16</v>
      </c>
    </row>
    <row r="48" spans="1:48" s="6" customFormat="1" ht="24.95" customHeight="1">
      <c r="A48" s="10">
        <f t="shared" si="9"/>
        <v>44</v>
      </c>
      <c r="B48" s="4" t="s">
        <v>74</v>
      </c>
      <c r="C48" s="57">
        <v>16395</v>
      </c>
      <c r="D48" s="4" t="s">
        <v>75</v>
      </c>
      <c r="E48" s="64"/>
      <c r="F48" s="12" t="s">
        <v>147</v>
      </c>
      <c r="G48" s="12" t="s">
        <v>147</v>
      </c>
      <c r="H48" s="12" t="s">
        <v>147</v>
      </c>
      <c r="I48" s="12" t="s">
        <v>147</v>
      </c>
      <c r="J48" s="64"/>
      <c r="K48" s="12"/>
      <c r="L48" s="12" t="s">
        <v>147</v>
      </c>
      <c r="M48" s="12" t="s">
        <v>147</v>
      </c>
      <c r="N48" s="12" t="s">
        <v>147</v>
      </c>
      <c r="O48" s="12" t="s">
        <v>147</v>
      </c>
      <c r="P48" s="12" t="s">
        <v>147</v>
      </c>
      <c r="Q48" s="12"/>
      <c r="R48" s="12"/>
      <c r="S48" s="64">
        <v>1901</v>
      </c>
      <c r="T48" s="12"/>
      <c r="U48" s="12" t="s">
        <v>147</v>
      </c>
      <c r="V48" s="12" t="s">
        <v>147</v>
      </c>
      <c r="W48" s="12" t="s">
        <v>147</v>
      </c>
      <c r="X48" s="12"/>
      <c r="Y48" s="12"/>
      <c r="Z48" s="12" t="s">
        <v>147</v>
      </c>
      <c r="AA48" s="12" t="s">
        <v>147</v>
      </c>
      <c r="AB48" s="12" t="s">
        <v>147</v>
      </c>
      <c r="AC48" s="12" t="s">
        <v>147</v>
      </c>
      <c r="AD48" s="12" t="s">
        <v>147</v>
      </c>
      <c r="AE48" s="12"/>
      <c r="AF48" s="12"/>
      <c r="AG48" s="12" t="s">
        <v>147</v>
      </c>
      <c r="AH48" s="12" t="s">
        <v>147</v>
      </c>
      <c r="AJ48" s="12"/>
      <c r="AK48" s="12">
        <f t="shared" si="10"/>
        <v>0</v>
      </c>
      <c r="AL48" s="12">
        <f t="shared" si="10"/>
        <v>0</v>
      </c>
      <c r="AM48" s="12">
        <f t="shared" si="3"/>
        <v>0</v>
      </c>
      <c r="AN48" s="3"/>
      <c r="AO48" s="15">
        <f t="shared" si="11"/>
        <v>1</v>
      </c>
      <c r="AP48" s="15">
        <f t="shared" si="11"/>
        <v>0</v>
      </c>
      <c r="AQ48" s="15">
        <f t="shared" si="11"/>
        <v>0</v>
      </c>
      <c r="AR48" s="15">
        <f t="shared" si="11"/>
        <v>0</v>
      </c>
      <c r="AS48" s="15">
        <f t="shared" si="11"/>
        <v>0</v>
      </c>
      <c r="AT48" s="15">
        <f t="shared" si="11"/>
        <v>0</v>
      </c>
      <c r="AU48" s="15">
        <f t="shared" si="11"/>
        <v>0</v>
      </c>
      <c r="AV48" s="15">
        <f t="shared" si="4"/>
        <v>1</v>
      </c>
    </row>
    <row r="49" spans="1:48" s="6" customFormat="1" ht="24.95" customHeight="1">
      <c r="A49" s="10">
        <f t="shared" si="9"/>
        <v>45</v>
      </c>
      <c r="B49" s="62" t="s">
        <v>37</v>
      </c>
      <c r="C49" s="58">
        <v>16712</v>
      </c>
      <c r="D49" s="18" t="s">
        <v>38</v>
      </c>
      <c r="E49" s="12"/>
      <c r="F49" s="12" t="s">
        <v>147</v>
      </c>
      <c r="G49" s="12" t="s">
        <v>147</v>
      </c>
      <c r="H49" s="12" t="s">
        <v>147</v>
      </c>
      <c r="I49" s="12" t="s">
        <v>147</v>
      </c>
      <c r="J49" s="12"/>
      <c r="K49" s="12"/>
      <c r="L49" s="12" t="s">
        <v>147</v>
      </c>
      <c r="M49" s="12" t="s">
        <v>147</v>
      </c>
      <c r="N49" s="12" t="s">
        <v>147</v>
      </c>
      <c r="O49" s="12" t="s">
        <v>147</v>
      </c>
      <c r="P49" s="12" t="s">
        <v>147</v>
      </c>
      <c r="Q49" s="12"/>
      <c r="R49" s="12"/>
      <c r="S49" s="64">
        <v>1901</v>
      </c>
      <c r="T49" s="12"/>
      <c r="U49" s="12" t="s">
        <v>147</v>
      </c>
      <c r="V49" s="12" t="s">
        <v>147</v>
      </c>
      <c r="W49" s="12" t="s">
        <v>147</v>
      </c>
      <c r="X49" s="12"/>
      <c r="Y49" s="12"/>
      <c r="Z49" s="12" t="s">
        <v>147</v>
      </c>
      <c r="AA49" s="12" t="s">
        <v>147</v>
      </c>
      <c r="AB49" s="12" t="s">
        <v>147</v>
      </c>
      <c r="AC49" s="12" t="s">
        <v>147</v>
      </c>
      <c r="AD49" s="12" t="s">
        <v>147</v>
      </c>
      <c r="AE49" s="12"/>
      <c r="AF49" s="12"/>
      <c r="AG49" s="12" t="s">
        <v>147</v>
      </c>
      <c r="AH49" s="12" t="s">
        <v>147</v>
      </c>
      <c r="AJ49" s="12"/>
      <c r="AK49" s="12">
        <f t="shared" si="10"/>
        <v>0</v>
      </c>
      <c r="AL49" s="12">
        <f t="shared" si="10"/>
        <v>0</v>
      </c>
      <c r="AM49" s="12">
        <f t="shared" si="3"/>
        <v>0</v>
      </c>
      <c r="AN49" s="3"/>
      <c r="AO49" s="15">
        <f t="shared" si="11"/>
        <v>1</v>
      </c>
      <c r="AP49" s="15">
        <f t="shared" si="11"/>
        <v>0</v>
      </c>
      <c r="AQ49" s="15">
        <f t="shared" si="11"/>
        <v>0</v>
      </c>
      <c r="AR49" s="15">
        <f t="shared" si="11"/>
        <v>0</v>
      </c>
      <c r="AS49" s="15">
        <f t="shared" si="11"/>
        <v>0</v>
      </c>
      <c r="AT49" s="15">
        <f t="shared" si="11"/>
        <v>0</v>
      </c>
      <c r="AU49" s="15">
        <f t="shared" si="11"/>
        <v>0</v>
      </c>
      <c r="AV49" s="15">
        <f t="shared" si="4"/>
        <v>1</v>
      </c>
    </row>
    <row r="50" spans="1:48" s="6" customFormat="1" ht="24.95" customHeight="1">
      <c r="A50" s="10">
        <f t="shared" si="9"/>
        <v>46</v>
      </c>
      <c r="B50" s="4" t="s">
        <v>84</v>
      </c>
      <c r="C50" s="57">
        <v>16896</v>
      </c>
      <c r="D50" s="4" t="s">
        <v>85</v>
      </c>
      <c r="E50" s="12"/>
      <c r="F50" s="12" t="s">
        <v>147</v>
      </c>
      <c r="G50" s="12" t="s">
        <v>147</v>
      </c>
      <c r="H50" s="12" t="s">
        <v>147</v>
      </c>
      <c r="I50" s="12" t="s">
        <v>147</v>
      </c>
      <c r="J50" s="12"/>
      <c r="K50" s="12"/>
      <c r="L50" s="12" t="s">
        <v>147</v>
      </c>
      <c r="M50" s="12" t="s">
        <v>147</v>
      </c>
      <c r="N50" s="12" t="s">
        <v>147</v>
      </c>
      <c r="O50" s="64">
        <v>1901</v>
      </c>
      <c r="P50" s="64" t="s">
        <v>4</v>
      </c>
      <c r="Q50" s="12"/>
      <c r="R50" s="12"/>
      <c r="S50" s="12" t="s">
        <v>147</v>
      </c>
      <c r="T50" s="12"/>
      <c r="U50" s="12" t="s">
        <v>147</v>
      </c>
      <c r="V50" s="12" t="s">
        <v>147</v>
      </c>
      <c r="W50" s="12" t="s">
        <v>147</v>
      </c>
      <c r="X50" s="12"/>
      <c r="Y50" s="12"/>
      <c r="Z50" s="12" t="s">
        <v>147</v>
      </c>
      <c r="AA50" s="12" t="s">
        <v>147</v>
      </c>
      <c r="AB50" s="12" t="s">
        <v>147</v>
      </c>
      <c r="AC50" s="12" t="s">
        <v>147</v>
      </c>
      <c r="AD50" s="12" t="s">
        <v>147</v>
      </c>
      <c r="AE50" s="64"/>
      <c r="AF50" s="64"/>
      <c r="AG50" s="12" t="s">
        <v>147</v>
      </c>
      <c r="AH50" s="12" t="s">
        <v>147</v>
      </c>
      <c r="AJ50" s="12"/>
      <c r="AK50" s="12">
        <f t="shared" si="10"/>
        <v>1</v>
      </c>
      <c r="AL50" s="12">
        <f t="shared" si="10"/>
        <v>0</v>
      </c>
      <c r="AM50" s="12">
        <f t="shared" si="3"/>
        <v>1</v>
      </c>
      <c r="AN50" s="3"/>
      <c r="AO50" s="15">
        <f t="shared" si="11"/>
        <v>1</v>
      </c>
      <c r="AP50" s="15">
        <f t="shared" si="11"/>
        <v>0</v>
      </c>
      <c r="AQ50" s="15">
        <f t="shared" si="11"/>
        <v>0</v>
      </c>
      <c r="AR50" s="15">
        <f t="shared" si="11"/>
        <v>0</v>
      </c>
      <c r="AS50" s="15">
        <f t="shared" si="11"/>
        <v>0</v>
      </c>
      <c r="AT50" s="15">
        <f t="shared" si="11"/>
        <v>0</v>
      </c>
      <c r="AU50" s="15">
        <f t="shared" si="11"/>
        <v>0</v>
      </c>
      <c r="AV50" s="15">
        <f t="shared" si="4"/>
        <v>1</v>
      </c>
    </row>
    <row r="51" spans="1:48" s="6" customFormat="1" ht="24.95" customHeight="1">
      <c r="A51" s="10">
        <f t="shared" si="9"/>
        <v>47</v>
      </c>
      <c r="B51" s="4" t="s">
        <v>78</v>
      </c>
      <c r="C51" s="57">
        <v>17460</v>
      </c>
      <c r="D51" s="4" t="s">
        <v>79</v>
      </c>
      <c r="E51" s="12"/>
      <c r="F51" s="12" t="s">
        <v>147</v>
      </c>
      <c r="G51" s="12" t="s">
        <v>147</v>
      </c>
      <c r="H51" s="12" t="s">
        <v>147</v>
      </c>
      <c r="I51" s="12" t="s">
        <v>147</v>
      </c>
      <c r="J51" s="12"/>
      <c r="K51" s="12"/>
      <c r="L51" s="12" t="s">
        <v>147</v>
      </c>
      <c r="M51" s="12" t="s">
        <v>147</v>
      </c>
      <c r="N51" s="64">
        <v>1901</v>
      </c>
      <c r="O51" s="12" t="s">
        <v>147</v>
      </c>
      <c r="P51" s="12" t="s">
        <v>147</v>
      </c>
      <c r="Q51" s="12"/>
      <c r="R51" s="12"/>
      <c r="S51" s="12" t="s">
        <v>147</v>
      </c>
      <c r="T51" s="12"/>
      <c r="U51" s="12" t="s">
        <v>147</v>
      </c>
      <c r="V51" s="12" t="s">
        <v>147</v>
      </c>
      <c r="W51" s="12" t="s">
        <v>147</v>
      </c>
      <c r="X51" s="12"/>
      <c r="Y51" s="12"/>
      <c r="Z51" s="12" t="s">
        <v>147</v>
      </c>
      <c r="AA51" s="12" t="s">
        <v>147</v>
      </c>
      <c r="AB51" s="12" t="s">
        <v>147</v>
      </c>
      <c r="AC51" s="12" t="s">
        <v>147</v>
      </c>
      <c r="AD51" s="64">
        <v>1901</v>
      </c>
      <c r="AE51" s="12"/>
      <c r="AF51" s="12"/>
      <c r="AG51" s="12" t="s">
        <v>147</v>
      </c>
      <c r="AH51" s="12" t="s">
        <v>147</v>
      </c>
      <c r="AJ51" s="12"/>
      <c r="AK51" s="12">
        <f t="shared" si="10"/>
        <v>0</v>
      </c>
      <c r="AL51" s="12">
        <f t="shared" si="10"/>
        <v>0</v>
      </c>
      <c r="AM51" s="12">
        <f t="shared" si="3"/>
        <v>0</v>
      </c>
      <c r="AN51" s="3"/>
      <c r="AO51" s="15">
        <f t="shared" si="11"/>
        <v>2</v>
      </c>
      <c r="AP51" s="15">
        <f t="shared" si="11"/>
        <v>0</v>
      </c>
      <c r="AQ51" s="15">
        <f t="shared" si="11"/>
        <v>0</v>
      </c>
      <c r="AR51" s="15">
        <f t="shared" si="11"/>
        <v>0</v>
      </c>
      <c r="AS51" s="15">
        <f t="shared" si="11"/>
        <v>0</v>
      </c>
      <c r="AT51" s="15">
        <f t="shared" si="11"/>
        <v>0</v>
      </c>
      <c r="AU51" s="15">
        <f t="shared" si="11"/>
        <v>0</v>
      </c>
      <c r="AV51" s="15">
        <f t="shared" si="4"/>
        <v>2</v>
      </c>
    </row>
    <row r="52" spans="1:48" s="6" customFormat="1" ht="24.95" customHeight="1">
      <c r="A52" s="10">
        <f t="shared" si="9"/>
        <v>48</v>
      </c>
      <c r="B52" s="4" t="s">
        <v>86</v>
      </c>
      <c r="C52" s="57">
        <v>17742</v>
      </c>
      <c r="D52" s="4" t="s">
        <v>87</v>
      </c>
      <c r="E52" s="64" t="s">
        <v>5</v>
      </c>
      <c r="F52" s="64" t="s">
        <v>5</v>
      </c>
      <c r="G52" s="64" t="s">
        <v>5</v>
      </c>
      <c r="H52" s="64" t="s">
        <v>5</v>
      </c>
      <c r="I52" s="64" t="s">
        <v>5</v>
      </c>
      <c r="J52" s="64" t="s">
        <v>5</v>
      </c>
      <c r="K52" s="64" t="s">
        <v>5</v>
      </c>
      <c r="L52" s="64" t="s">
        <v>5</v>
      </c>
      <c r="M52" s="64"/>
      <c r="N52" s="64" t="s">
        <v>5</v>
      </c>
      <c r="O52" s="64" t="s">
        <v>5</v>
      </c>
      <c r="P52" s="64" t="s">
        <v>5</v>
      </c>
      <c r="Q52" s="64" t="s">
        <v>5</v>
      </c>
      <c r="R52" s="64" t="s">
        <v>5</v>
      </c>
      <c r="S52" s="64" t="s">
        <v>5</v>
      </c>
      <c r="T52" s="64" t="s">
        <v>5</v>
      </c>
      <c r="U52" s="64" t="s">
        <v>5</v>
      </c>
      <c r="V52" s="64" t="s">
        <v>5</v>
      </c>
      <c r="W52" s="64" t="s">
        <v>5</v>
      </c>
      <c r="X52" s="64" t="s">
        <v>5</v>
      </c>
      <c r="Y52" s="64"/>
      <c r="Z52" s="64" t="s">
        <v>5</v>
      </c>
      <c r="AA52" s="64" t="s">
        <v>5</v>
      </c>
      <c r="AB52" s="64" t="s">
        <v>5</v>
      </c>
      <c r="AC52" s="64" t="s">
        <v>5</v>
      </c>
      <c r="AD52" s="64" t="s">
        <v>5</v>
      </c>
      <c r="AE52" s="64" t="s">
        <v>5</v>
      </c>
      <c r="AF52" s="64" t="s">
        <v>5</v>
      </c>
      <c r="AG52" s="64" t="s">
        <v>5</v>
      </c>
      <c r="AH52" s="64" t="s">
        <v>5</v>
      </c>
      <c r="AJ52" s="12"/>
      <c r="AK52" s="12">
        <f t="shared" si="10"/>
        <v>0</v>
      </c>
      <c r="AL52" s="12">
        <f t="shared" si="10"/>
        <v>28</v>
      </c>
      <c r="AM52" s="12">
        <f t="shared" si="3"/>
        <v>28</v>
      </c>
      <c r="AN52" s="3"/>
      <c r="AO52" s="15">
        <f t="shared" si="11"/>
        <v>0</v>
      </c>
      <c r="AP52" s="15">
        <f t="shared" si="11"/>
        <v>0</v>
      </c>
      <c r="AQ52" s="15">
        <f t="shared" si="11"/>
        <v>0</v>
      </c>
      <c r="AR52" s="15">
        <f t="shared" si="11"/>
        <v>0</v>
      </c>
      <c r="AS52" s="15">
        <f t="shared" si="11"/>
        <v>0</v>
      </c>
      <c r="AT52" s="15">
        <f t="shared" si="11"/>
        <v>0</v>
      </c>
      <c r="AU52" s="15">
        <f t="shared" si="11"/>
        <v>0</v>
      </c>
      <c r="AV52" s="15">
        <f t="shared" si="4"/>
        <v>0</v>
      </c>
    </row>
    <row r="53" spans="1:48" s="6" customFormat="1" ht="24.95" customHeight="1">
      <c r="A53" s="10">
        <f t="shared" si="9"/>
        <v>49</v>
      </c>
      <c r="B53" s="4" t="s">
        <v>41</v>
      </c>
      <c r="C53" s="57">
        <v>17807</v>
      </c>
      <c r="D53" s="4" t="s">
        <v>66</v>
      </c>
      <c r="E53" s="12" t="s">
        <v>147</v>
      </c>
      <c r="F53" s="12" t="s">
        <v>147</v>
      </c>
      <c r="G53" s="12" t="s">
        <v>147</v>
      </c>
      <c r="H53" s="12" t="s">
        <v>147</v>
      </c>
      <c r="I53" s="12" t="s">
        <v>147</v>
      </c>
      <c r="J53" s="12" t="s">
        <v>147</v>
      </c>
      <c r="K53" s="12"/>
      <c r="L53" s="12" t="s">
        <v>147</v>
      </c>
      <c r="M53" s="12" t="s">
        <v>147</v>
      </c>
      <c r="N53" s="12" t="s">
        <v>147</v>
      </c>
      <c r="O53" s="12" t="s">
        <v>147</v>
      </c>
      <c r="P53" s="12" t="s">
        <v>147</v>
      </c>
      <c r="Q53" s="12"/>
      <c r="R53" s="12" t="s">
        <v>147</v>
      </c>
      <c r="S53" s="12" t="s">
        <v>147</v>
      </c>
      <c r="T53" s="12" t="s">
        <v>147</v>
      </c>
      <c r="U53" s="12" t="s">
        <v>147</v>
      </c>
      <c r="V53" s="12" t="s">
        <v>147</v>
      </c>
      <c r="W53" s="12" t="s">
        <v>147</v>
      </c>
      <c r="X53" s="12"/>
      <c r="Y53" s="12"/>
      <c r="Z53" s="12" t="s">
        <v>147</v>
      </c>
      <c r="AA53" s="12" t="s">
        <v>147</v>
      </c>
      <c r="AB53" s="12" t="s">
        <v>147</v>
      </c>
      <c r="AC53" s="12" t="s">
        <v>147</v>
      </c>
      <c r="AD53" s="12" t="s">
        <v>147</v>
      </c>
      <c r="AE53" s="12" t="s">
        <v>147</v>
      </c>
      <c r="AF53" s="12" t="s">
        <v>147</v>
      </c>
      <c r="AG53" s="12" t="s">
        <v>147</v>
      </c>
      <c r="AH53" s="12" t="s">
        <v>147</v>
      </c>
      <c r="AJ53" s="12"/>
      <c r="AK53" s="12">
        <f t="shared" si="10"/>
        <v>0</v>
      </c>
      <c r="AL53" s="12">
        <f t="shared" si="10"/>
        <v>0</v>
      </c>
      <c r="AM53" s="12">
        <f t="shared" si="3"/>
        <v>0</v>
      </c>
      <c r="AN53" s="3"/>
      <c r="AO53" s="15">
        <f t="shared" si="11"/>
        <v>0</v>
      </c>
      <c r="AP53" s="15">
        <f t="shared" si="11"/>
        <v>0</v>
      </c>
      <c r="AQ53" s="15">
        <f t="shared" si="11"/>
        <v>0</v>
      </c>
      <c r="AR53" s="15">
        <f t="shared" si="11"/>
        <v>0</v>
      </c>
      <c r="AS53" s="15">
        <f t="shared" si="11"/>
        <v>0</v>
      </c>
      <c r="AT53" s="15">
        <f t="shared" si="11"/>
        <v>0</v>
      </c>
      <c r="AU53" s="15">
        <f t="shared" si="11"/>
        <v>0</v>
      </c>
      <c r="AV53" s="15">
        <f t="shared" si="4"/>
        <v>0</v>
      </c>
    </row>
    <row r="54" spans="1:48" s="6" customFormat="1" ht="24.95" customHeight="1">
      <c r="A54" s="10">
        <f t="shared" si="9"/>
        <v>50</v>
      </c>
      <c r="B54" s="4" t="s">
        <v>94</v>
      </c>
      <c r="C54" s="57">
        <v>17974</v>
      </c>
      <c r="D54" s="4" t="s">
        <v>95</v>
      </c>
      <c r="E54" s="12"/>
      <c r="F54" s="12" t="s">
        <v>147</v>
      </c>
      <c r="G54" s="12" t="s">
        <v>147</v>
      </c>
      <c r="H54" s="12" t="s">
        <v>147</v>
      </c>
      <c r="I54" s="12" t="s">
        <v>147</v>
      </c>
      <c r="J54" s="64"/>
      <c r="K54" s="12"/>
      <c r="L54" s="12" t="s">
        <v>147</v>
      </c>
      <c r="M54" s="12" t="s">
        <v>147</v>
      </c>
      <c r="N54" s="12" t="s">
        <v>147</v>
      </c>
      <c r="O54" s="12" t="s">
        <v>147</v>
      </c>
      <c r="P54" s="12" t="s">
        <v>147</v>
      </c>
      <c r="Q54" s="12"/>
      <c r="R54" s="12"/>
      <c r="S54" s="12" t="s">
        <v>147</v>
      </c>
      <c r="T54" s="12"/>
      <c r="U54" s="12" t="s">
        <v>147</v>
      </c>
      <c r="V54" s="12" t="s">
        <v>147</v>
      </c>
      <c r="W54" s="12" t="s">
        <v>147</v>
      </c>
      <c r="X54" s="12"/>
      <c r="Y54" s="12"/>
      <c r="Z54" s="12" t="s">
        <v>147</v>
      </c>
      <c r="AA54" s="12" t="s">
        <v>147</v>
      </c>
      <c r="AB54" s="12" t="s">
        <v>147</v>
      </c>
      <c r="AC54" s="12" t="s">
        <v>147</v>
      </c>
      <c r="AD54" s="12" t="s">
        <v>147</v>
      </c>
      <c r="AE54" s="12"/>
      <c r="AF54" s="12"/>
      <c r="AG54" s="12" t="s">
        <v>147</v>
      </c>
      <c r="AH54" s="12" t="s">
        <v>147</v>
      </c>
      <c r="AJ54" s="12"/>
      <c r="AK54" s="12">
        <f t="shared" si="10"/>
        <v>0</v>
      </c>
      <c r="AL54" s="12">
        <f t="shared" si="10"/>
        <v>0</v>
      </c>
      <c r="AM54" s="12">
        <f t="shared" si="3"/>
        <v>0</v>
      </c>
      <c r="AN54" s="3"/>
      <c r="AO54" s="15">
        <f t="shared" si="11"/>
        <v>0</v>
      </c>
      <c r="AP54" s="15">
        <f t="shared" si="11"/>
        <v>0</v>
      </c>
      <c r="AQ54" s="15">
        <f t="shared" si="11"/>
        <v>0</v>
      </c>
      <c r="AR54" s="15">
        <f t="shared" si="11"/>
        <v>0</v>
      </c>
      <c r="AS54" s="15">
        <f t="shared" si="11"/>
        <v>0</v>
      </c>
      <c r="AT54" s="15">
        <f t="shared" si="11"/>
        <v>0</v>
      </c>
      <c r="AU54" s="15">
        <f t="shared" si="11"/>
        <v>0</v>
      </c>
      <c r="AV54" s="15">
        <f t="shared" si="4"/>
        <v>0</v>
      </c>
    </row>
    <row r="55" spans="1:48" s="6" customFormat="1" ht="24.95" customHeight="1">
      <c r="A55" s="10">
        <f t="shared" si="9"/>
        <v>51</v>
      </c>
      <c r="B55" s="4" t="s">
        <v>100</v>
      </c>
      <c r="C55" s="57">
        <v>18327</v>
      </c>
      <c r="D55" s="4" t="s">
        <v>101</v>
      </c>
      <c r="E55" s="64"/>
      <c r="F55" s="12" t="s">
        <v>147</v>
      </c>
      <c r="G55" s="12" t="s">
        <v>147</v>
      </c>
      <c r="H55" s="12" t="s">
        <v>147</v>
      </c>
      <c r="I55" s="12" t="s">
        <v>147</v>
      </c>
      <c r="J55" s="64"/>
      <c r="K55" s="12"/>
      <c r="L55" s="12" t="s">
        <v>147</v>
      </c>
      <c r="M55" s="12" t="s">
        <v>147</v>
      </c>
      <c r="N55" s="12" t="s">
        <v>147</v>
      </c>
      <c r="O55" s="12" t="s">
        <v>147</v>
      </c>
      <c r="P55" s="12" t="s">
        <v>147</v>
      </c>
      <c r="Q55" s="12"/>
      <c r="R55" s="12"/>
      <c r="S55" s="64">
        <v>1901</v>
      </c>
      <c r="T55" s="12"/>
      <c r="U55" s="12" t="s">
        <v>147</v>
      </c>
      <c r="V55" s="12" t="s">
        <v>147</v>
      </c>
      <c r="W55" s="12" t="s">
        <v>147</v>
      </c>
      <c r="X55" s="12"/>
      <c r="Y55" s="12"/>
      <c r="Z55" s="12" t="s">
        <v>147</v>
      </c>
      <c r="AA55" s="12" t="s">
        <v>147</v>
      </c>
      <c r="AB55" s="12" t="s">
        <v>147</v>
      </c>
      <c r="AC55" s="12" t="s">
        <v>147</v>
      </c>
      <c r="AD55" s="12" t="s">
        <v>147</v>
      </c>
      <c r="AE55" s="12"/>
      <c r="AF55" s="12"/>
      <c r="AG55" s="12" t="s">
        <v>147</v>
      </c>
      <c r="AH55" s="12" t="s">
        <v>147</v>
      </c>
      <c r="AJ55" s="12"/>
      <c r="AK55" s="12">
        <f t="shared" si="10"/>
        <v>0</v>
      </c>
      <c r="AL55" s="12">
        <f t="shared" si="10"/>
        <v>0</v>
      </c>
      <c r="AM55" s="12">
        <f t="shared" si="3"/>
        <v>0</v>
      </c>
      <c r="AN55" s="3"/>
      <c r="AO55" s="15">
        <f t="shared" ref="AO55:AU64" si="12">COUNTIF($E55:$AH55,AO$4)</f>
        <v>1</v>
      </c>
      <c r="AP55" s="15">
        <f t="shared" si="12"/>
        <v>0</v>
      </c>
      <c r="AQ55" s="15">
        <f t="shared" si="12"/>
        <v>0</v>
      </c>
      <c r="AR55" s="15">
        <f t="shared" si="12"/>
        <v>0</v>
      </c>
      <c r="AS55" s="15">
        <f t="shared" si="12"/>
        <v>0</v>
      </c>
      <c r="AT55" s="15">
        <f t="shared" si="12"/>
        <v>0</v>
      </c>
      <c r="AU55" s="15">
        <f t="shared" si="12"/>
        <v>0</v>
      </c>
      <c r="AV55" s="15">
        <f t="shared" si="4"/>
        <v>1</v>
      </c>
    </row>
    <row r="56" spans="1:48" s="6" customFormat="1" ht="24.95" customHeight="1">
      <c r="A56" s="10">
        <f t="shared" si="9"/>
        <v>52</v>
      </c>
      <c r="B56" s="4" t="s">
        <v>109</v>
      </c>
      <c r="C56" s="57">
        <v>18346</v>
      </c>
      <c r="D56" s="4" t="s">
        <v>146</v>
      </c>
      <c r="E56" s="12"/>
      <c r="F56" s="12" t="s">
        <v>147</v>
      </c>
      <c r="G56" s="12" t="s">
        <v>147</v>
      </c>
      <c r="H56" s="12" t="s">
        <v>147</v>
      </c>
      <c r="I56" s="12" t="s">
        <v>147</v>
      </c>
      <c r="J56" s="12"/>
      <c r="K56" s="12"/>
      <c r="L56" s="12" t="s">
        <v>147</v>
      </c>
      <c r="M56" s="12" t="s">
        <v>147</v>
      </c>
      <c r="N56" s="12" t="s">
        <v>147</v>
      </c>
      <c r="O56" s="12" t="s">
        <v>147</v>
      </c>
      <c r="P56" s="12" t="s">
        <v>147</v>
      </c>
      <c r="Q56" s="12"/>
      <c r="R56" s="64"/>
      <c r="S56" s="12" t="s">
        <v>147</v>
      </c>
      <c r="T56" s="12"/>
      <c r="U56" s="12" t="s">
        <v>147</v>
      </c>
      <c r="V56" s="12" t="s">
        <v>147</v>
      </c>
      <c r="W56" s="12" t="s">
        <v>147</v>
      </c>
      <c r="X56" s="12"/>
      <c r="Y56" s="64"/>
      <c r="Z56" s="12" t="s">
        <v>147</v>
      </c>
      <c r="AA56" s="12" t="s">
        <v>147</v>
      </c>
      <c r="AB56" s="12" t="s">
        <v>147</v>
      </c>
      <c r="AC56" s="12" t="s">
        <v>147</v>
      </c>
      <c r="AD56" s="12" t="s">
        <v>147</v>
      </c>
      <c r="AE56" s="12"/>
      <c r="AF56" s="12"/>
      <c r="AG56" s="12" t="s">
        <v>147</v>
      </c>
      <c r="AH56" s="12" t="s">
        <v>147</v>
      </c>
      <c r="AJ56" s="12"/>
      <c r="AK56" s="12">
        <f t="shared" si="10"/>
        <v>0</v>
      </c>
      <c r="AL56" s="12">
        <f t="shared" si="10"/>
        <v>0</v>
      </c>
      <c r="AM56" s="12">
        <f t="shared" si="3"/>
        <v>0</v>
      </c>
      <c r="AN56" s="3"/>
      <c r="AO56" s="15">
        <f t="shared" si="12"/>
        <v>0</v>
      </c>
      <c r="AP56" s="15">
        <f t="shared" si="12"/>
        <v>0</v>
      </c>
      <c r="AQ56" s="15">
        <f t="shared" si="12"/>
        <v>0</v>
      </c>
      <c r="AR56" s="15">
        <f t="shared" si="12"/>
        <v>0</v>
      </c>
      <c r="AS56" s="15">
        <f t="shared" si="12"/>
        <v>0</v>
      </c>
      <c r="AT56" s="15">
        <f t="shared" si="12"/>
        <v>0</v>
      </c>
      <c r="AU56" s="15">
        <f t="shared" si="12"/>
        <v>0</v>
      </c>
      <c r="AV56" s="15">
        <f t="shared" si="4"/>
        <v>0</v>
      </c>
    </row>
    <row r="57" spans="1:48" s="6" customFormat="1" ht="24.95" customHeight="1">
      <c r="A57" s="10">
        <f t="shared" si="9"/>
        <v>53</v>
      </c>
      <c r="B57" s="4" t="s">
        <v>142</v>
      </c>
      <c r="C57" s="57">
        <v>19174</v>
      </c>
      <c r="D57" s="4" t="s">
        <v>64</v>
      </c>
      <c r="E57" s="12"/>
      <c r="F57" s="12" t="s">
        <v>147</v>
      </c>
      <c r="G57" s="12" t="s">
        <v>147</v>
      </c>
      <c r="H57" s="12" t="s">
        <v>147</v>
      </c>
      <c r="I57" s="12" t="s">
        <v>147</v>
      </c>
      <c r="J57" s="12"/>
      <c r="K57" s="12"/>
      <c r="L57" s="12" t="s">
        <v>147</v>
      </c>
      <c r="M57" s="12" t="s">
        <v>147</v>
      </c>
      <c r="N57" s="12" t="s">
        <v>147</v>
      </c>
      <c r="O57" s="12" t="s">
        <v>147</v>
      </c>
      <c r="P57" s="12" t="s">
        <v>147</v>
      </c>
      <c r="Q57" s="12"/>
      <c r="R57" s="12"/>
      <c r="S57" s="12" t="s">
        <v>147</v>
      </c>
      <c r="T57" s="12"/>
      <c r="U57" s="12" t="s">
        <v>147</v>
      </c>
      <c r="V57" s="12" t="s">
        <v>147</v>
      </c>
      <c r="W57" s="12" t="s">
        <v>147</v>
      </c>
      <c r="X57" s="12"/>
      <c r="Y57" s="64"/>
      <c r="Z57" s="12" t="s">
        <v>147</v>
      </c>
      <c r="AA57" s="12" t="s">
        <v>147</v>
      </c>
      <c r="AB57" s="12" t="s">
        <v>147</v>
      </c>
      <c r="AC57" s="12" t="s">
        <v>147</v>
      </c>
      <c r="AD57" s="64" t="s">
        <v>5</v>
      </c>
      <c r="AE57" s="64" t="s">
        <v>5</v>
      </c>
      <c r="AF57" s="64" t="s">
        <v>5</v>
      </c>
      <c r="AG57" s="64" t="s">
        <v>5</v>
      </c>
      <c r="AH57" s="64" t="s">
        <v>5</v>
      </c>
      <c r="AJ57" s="12"/>
      <c r="AK57" s="12">
        <f t="shared" si="10"/>
        <v>0</v>
      </c>
      <c r="AL57" s="12">
        <f t="shared" si="10"/>
        <v>5</v>
      </c>
      <c r="AM57" s="12">
        <f t="shared" si="3"/>
        <v>5</v>
      </c>
      <c r="AN57" s="3"/>
      <c r="AO57" s="15">
        <f t="shared" si="12"/>
        <v>0</v>
      </c>
      <c r="AP57" s="15">
        <f t="shared" si="12"/>
        <v>0</v>
      </c>
      <c r="AQ57" s="15">
        <f t="shared" si="12"/>
        <v>0</v>
      </c>
      <c r="AR57" s="15">
        <f t="shared" si="12"/>
        <v>0</v>
      </c>
      <c r="AS57" s="15">
        <f t="shared" si="12"/>
        <v>0</v>
      </c>
      <c r="AT57" s="15">
        <f t="shared" si="12"/>
        <v>0</v>
      </c>
      <c r="AU57" s="15">
        <f t="shared" si="12"/>
        <v>0</v>
      </c>
      <c r="AV57" s="15">
        <f t="shared" si="4"/>
        <v>0</v>
      </c>
    </row>
    <row r="58" spans="1:48" s="6" customFormat="1" ht="24.95" customHeight="1">
      <c r="A58" s="10">
        <f t="shared" si="9"/>
        <v>54</v>
      </c>
      <c r="B58" s="62" t="s">
        <v>102</v>
      </c>
      <c r="C58" s="58">
        <v>19519</v>
      </c>
      <c r="D58" s="18" t="s">
        <v>91</v>
      </c>
      <c r="E58" s="12"/>
      <c r="F58" s="12" t="s">
        <v>147</v>
      </c>
      <c r="G58" s="12" t="s">
        <v>147</v>
      </c>
      <c r="H58" s="12" t="s">
        <v>147</v>
      </c>
      <c r="I58" s="12" t="s">
        <v>147</v>
      </c>
      <c r="J58" s="12"/>
      <c r="K58" s="12"/>
      <c r="L58" s="12" t="s">
        <v>147</v>
      </c>
      <c r="M58" s="12" t="s">
        <v>147</v>
      </c>
      <c r="N58" s="12" t="s">
        <v>147</v>
      </c>
      <c r="O58" s="12" t="s">
        <v>147</v>
      </c>
      <c r="P58" s="64" t="s">
        <v>4</v>
      </c>
      <c r="Q58" s="12"/>
      <c r="R58" s="12"/>
      <c r="S58" s="64">
        <v>1901</v>
      </c>
      <c r="T58" s="12"/>
      <c r="U58" s="12" t="s">
        <v>147</v>
      </c>
      <c r="V58" s="12" t="s">
        <v>147</v>
      </c>
      <c r="W58" s="12" t="s">
        <v>147</v>
      </c>
      <c r="X58" s="12"/>
      <c r="Y58" s="12"/>
      <c r="Z58" s="12" t="s">
        <v>147</v>
      </c>
      <c r="AA58" s="12" t="s">
        <v>147</v>
      </c>
      <c r="AB58" s="12" t="s">
        <v>147</v>
      </c>
      <c r="AC58" s="12" t="s">
        <v>147</v>
      </c>
      <c r="AD58" s="12" t="s">
        <v>147</v>
      </c>
      <c r="AE58" s="12"/>
      <c r="AF58" s="12"/>
      <c r="AG58" s="12" t="s">
        <v>147</v>
      </c>
      <c r="AH58" s="12" t="s">
        <v>147</v>
      </c>
      <c r="AJ58" s="12"/>
      <c r="AK58" s="12">
        <f t="shared" si="10"/>
        <v>1</v>
      </c>
      <c r="AL58" s="12">
        <f t="shared" si="10"/>
        <v>0</v>
      </c>
      <c r="AM58" s="12">
        <f t="shared" si="3"/>
        <v>1</v>
      </c>
      <c r="AN58" s="3"/>
      <c r="AO58" s="15">
        <f t="shared" si="12"/>
        <v>1</v>
      </c>
      <c r="AP58" s="15">
        <f t="shared" si="12"/>
        <v>0</v>
      </c>
      <c r="AQ58" s="15">
        <f t="shared" si="12"/>
        <v>0</v>
      </c>
      <c r="AR58" s="15">
        <f t="shared" si="12"/>
        <v>0</v>
      </c>
      <c r="AS58" s="15">
        <f t="shared" si="12"/>
        <v>0</v>
      </c>
      <c r="AT58" s="15">
        <f t="shared" si="12"/>
        <v>0</v>
      </c>
      <c r="AU58" s="15">
        <f t="shared" si="12"/>
        <v>0</v>
      </c>
      <c r="AV58" s="15">
        <f t="shared" si="4"/>
        <v>1</v>
      </c>
    </row>
    <row r="59" spans="1:48" s="6" customFormat="1" ht="24.95" customHeight="1">
      <c r="A59" s="10">
        <f t="shared" si="9"/>
        <v>55</v>
      </c>
      <c r="B59" s="4" t="s">
        <v>106</v>
      </c>
      <c r="C59" s="57">
        <v>19657</v>
      </c>
      <c r="D59" s="4" t="s">
        <v>91</v>
      </c>
      <c r="E59" s="12"/>
      <c r="F59" s="12" t="s">
        <v>147</v>
      </c>
      <c r="G59" s="12" t="s">
        <v>147</v>
      </c>
      <c r="H59" s="12" t="s">
        <v>147</v>
      </c>
      <c r="I59" s="12" t="s">
        <v>147</v>
      </c>
      <c r="J59" s="12"/>
      <c r="K59" s="12"/>
      <c r="L59" s="12" t="s">
        <v>147</v>
      </c>
      <c r="M59" s="12" t="s">
        <v>147</v>
      </c>
      <c r="N59" s="12" t="s">
        <v>147</v>
      </c>
      <c r="O59" s="12" t="s">
        <v>147</v>
      </c>
      <c r="P59" s="12" t="s">
        <v>147</v>
      </c>
      <c r="Q59" s="12"/>
      <c r="R59" s="12"/>
      <c r="S59" s="12" t="s">
        <v>147</v>
      </c>
      <c r="T59" s="12"/>
      <c r="U59" s="12" t="s">
        <v>147</v>
      </c>
      <c r="V59" s="12" t="s">
        <v>147</v>
      </c>
      <c r="W59" s="12" t="s">
        <v>147</v>
      </c>
      <c r="X59" s="12"/>
      <c r="Y59" s="12"/>
      <c r="Z59" s="12" t="s">
        <v>147</v>
      </c>
      <c r="AA59" s="12" t="s">
        <v>147</v>
      </c>
      <c r="AB59" s="12" t="s">
        <v>147</v>
      </c>
      <c r="AC59" s="12" t="s">
        <v>147</v>
      </c>
      <c r="AD59" s="12" t="s">
        <v>147</v>
      </c>
      <c r="AE59" s="12"/>
      <c r="AF59" s="12"/>
      <c r="AG59" s="12" t="s">
        <v>147</v>
      </c>
      <c r="AH59" s="12" t="s">
        <v>147</v>
      </c>
      <c r="AJ59" s="12"/>
      <c r="AK59" s="12">
        <f t="shared" si="10"/>
        <v>0</v>
      </c>
      <c r="AL59" s="12">
        <f t="shared" si="10"/>
        <v>0</v>
      </c>
      <c r="AM59" s="12">
        <f t="shared" si="3"/>
        <v>0</v>
      </c>
      <c r="AN59" s="3"/>
      <c r="AO59" s="15">
        <f t="shared" si="12"/>
        <v>0</v>
      </c>
      <c r="AP59" s="15">
        <f t="shared" si="12"/>
        <v>0</v>
      </c>
      <c r="AQ59" s="15">
        <f t="shared" si="12"/>
        <v>0</v>
      </c>
      <c r="AR59" s="15">
        <f t="shared" si="12"/>
        <v>0</v>
      </c>
      <c r="AS59" s="15">
        <f t="shared" si="12"/>
        <v>0</v>
      </c>
      <c r="AT59" s="15">
        <f t="shared" si="12"/>
        <v>0</v>
      </c>
      <c r="AU59" s="15">
        <f t="shared" si="12"/>
        <v>0</v>
      </c>
      <c r="AV59" s="15">
        <f t="shared" si="4"/>
        <v>0</v>
      </c>
    </row>
    <row r="60" spans="1:48" s="6" customFormat="1" ht="24.95" customHeight="1">
      <c r="A60" s="10">
        <f t="shared" si="9"/>
        <v>56</v>
      </c>
      <c r="B60" s="4" t="s">
        <v>82</v>
      </c>
      <c r="C60" s="57">
        <v>19658</v>
      </c>
      <c r="D60" s="4" t="s">
        <v>83</v>
      </c>
      <c r="E60" s="12"/>
      <c r="F60" s="12" t="s">
        <v>147</v>
      </c>
      <c r="G60" s="12" t="s">
        <v>147</v>
      </c>
      <c r="H60" s="12" t="s">
        <v>147</v>
      </c>
      <c r="I60" s="64">
        <v>1901</v>
      </c>
      <c r="J60" s="12"/>
      <c r="K60" s="12"/>
      <c r="L60" s="12" t="s">
        <v>147</v>
      </c>
      <c r="M60" s="12" t="s">
        <v>147</v>
      </c>
      <c r="N60" s="12" t="s">
        <v>147</v>
      </c>
      <c r="O60" s="12" t="s">
        <v>147</v>
      </c>
      <c r="P60" s="12" t="s">
        <v>147</v>
      </c>
      <c r="Q60" s="12"/>
      <c r="R60" s="12"/>
      <c r="S60" s="12" t="s">
        <v>147</v>
      </c>
      <c r="T60" s="12"/>
      <c r="U60" s="12" t="s">
        <v>147</v>
      </c>
      <c r="V60" s="12" t="s">
        <v>147</v>
      </c>
      <c r="W60" s="12" t="s">
        <v>147</v>
      </c>
      <c r="X60" s="12"/>
      <c r="Y60" s="12"/>
      <c r="Z60" s="12" t="s">
        <v>147</v>
      </c>
      <c r="AA60" s="12" t="s">
        <v>147</v>
      </c>
      <c r="AB60" s="12" t="s">
        <v>147</v>
      </c>
      <c r="AC60" s="12" t="s">
        <v>147</v>
      </c>
      <c r="AD60" s="12" t="s">
        <v>147</v>
      </c>
      <c r="AF60" s="12"/>
      <c r="AG60" s="64">
        <v>1901</v>
      </c>
      <c r="AH60" s="12" t="s">
        <v>147</v>
      </c>
      <c r="AJ60" s="12"/>
      <c r="AK60" s="12">
        <f t="shared" si="10"/>
        <v>0</v>
      </c>
      <c r="AL60" s="12">
        <f t="shared" si="10"/>
        <v>0</v>
      </c>
      <c r="AM60" s="12">
        <f t="shared" si="3"/>
        <v>0</v>
      </c>
      <c r="AN60" s="3"/>
      <c r="AO60" s="15">
        <f t="shared" si="12"/>
        <v>2</v>
      </c>
      <c r="AP60" s="15">
        <f t="shared" si="12"/>
        <v>0</v>
      </c>
      <c r="AQ60" s="15">
        <f t="shared" si="12"/>
        <v>0</v>
      </c>
      <c r="AR60" s="15">
        <f t="shared" si="12"/>
        <v>0</v>
      </c>
      <c r="AS60" s="15">
        <f t="shared" si="12"/>
        <v>0</v>
      </c>
      <c r="AT60" s="15">
        <f t="shared" si="12"/>
        <v>0</v>
      </c>
      <c r="AU60" s="15">
        <f t="shared" si="12"/>
        <v>0</v>
      </c>
      <c r="AV60" s="15">
        <f t="shared" si="4"/>
        <v>2</v>
      </c>
    </row>
    <row r="61" spans="1:48" s="6" customFormat="1" ht="24.95" customHeight="1">
      <c r="A61" s="10">
        <f t="shared" si="9"/>
        <v>57</v>
      </c>
      <c r="B61" s="4" t="s">
        <v>143</v>
      </c>
      <c r="C61" s="57">
        <v>19670</v>
      </c>
      <c r="D61" s="4" t="s">
        <v>144</v>
      </c>
      <c r="E61" s="67" t="s">
        <v>147</v>
      </c>
      <c r="F61" s="12" t="s">
        <v>147</v>
      </c>
      <c r="G61" s="12" t="s">
        <v>147</v>
      </c>
      <c r="H61" s="12" t="s">
        <v>147</v>
      </c>
      <c r="I61" s="12" t="s">
        <v>147</v>
      </c>
      <c r="J61" s="12"/>
      <c r="K61" s="12"/>
      <c r="L61" s="12" t="s">
        <v>147</v>
      </c>
      <c r="M61" s="12" t="s">
        <v>147</v>
      </c>
      <c r="N61" s="12" t="s">
        <v>147</v>
      </c>
      <c r="O61" s="12" t="s">
        <v>147</v>
      </c>
      <c r="P61" s="12" t="s">
        <v>147</v>
      </c>
      <c r="Q61" s="12"/>
      <c r="R61" s="12"/>
      <c r="S61" s="12" t="s">
        <v>147</v>
      </c>
      <c r="T61" s="12"/>
      <c r="U61" s="12" t="s">
        <v>147</v>
      </c>
      <c r="V61" s="12" t="s">
        <v>147</v>
      </c>
      <c r="W61" s="12" t="s">
        <v>147</v>
      </c>
      <c r="X61" s="12"/>
      <c r="Y61" s="12"/>
      <c r="Z61" s="12" t="s">
        <v>147</v>
      </c>
      <c r="AA61" s="12" t="s">
        <v>147</v>
      </c>
      <c r="AB61" s="12" t="s">
        <v>147</v>
      </c>
      <c r="AC61" s="12" t="s">
        <v>147</v>
      </c>
      <c r="AD61" s="12" t="s">
        <v>147</v>
      </c>
      <c r="AE61" s="12"/>
      <c r="AF61" s="12"/>
      <c r="AG61" s="12" t="s">
        <v>147</v>
      </c>
      <c r="AH61" s="12" t="s">
        <v>147</v>
      </c>
      <c r="AJ61" s="12">
        <v>1</v>
      </c>
      <c r="AK61" s="12">
        <f t="shared" si="10"/>
        <v>0</v>
      </c>
      <c r="AL61" s="12">
        <f t="shared" si="10"/>
        <v>0</v>
      </c>
      <c r="AM61" s="12">
        <f>SUM(AK61:AL61)</f>
        <v>0</v>
      </c>
      <c r="AN61" s="3"/>
      <c r="AO61" s="15">
        <f t="shared" si="12"/>
        <v>0</v>
      </c>
      <c r="AP61" s="15">
        <f t="shared" si="12"/>
        <v>0</v>
      </c>
      <c r="AQ61" s="15">
        <f t="shared" si="12"/>
        <v>0</v>
      </c>
      <c r="AR61" s="15">
        <f t="shared" si="12"/>
        <v>0</v>
      </c>
      <c r="AS61" s="15">
        <f t="shared" si="12"/>
        <v>0</v>
      </c>
      <c r="AT61" s="15">
        <f t="shared" si="12"/>
        <v>0</v>
      </c>
      <c r="AU61" s="15">
        <f t="shared" si="12"/>
        <v>0</v>
      </c>
      <c r="AV61" s="15">
        <f>SUM(AO61:AU61)</f>
        <v>0</v>
      </c>
    </row>
    <row r="62" spans="1:48" s="6" customFormat="1" ht="24.95" customHeight="1">
      <c r="A62" s="10">
        <f t="shared" si="9"/>
        <v>58</v>
      </c>
      <c r="B62" s="4" t="s">
        <v>114</v>
      </c>
      <c r="C62" s="57">
        <v>19747</v>
      </c>
      <c r="D62" s="4" t="s">
        <v>83</v>
      </c>
      <c r="E62" s="12"/>
      <c r="F62" s="12" t="s">
        <v>147</v>
      </c>
      <c r="G62" s="12" t="s">
        <v>147</v>
      </c>
      <c r="H62" s="12" t="s">
        <v>147</v>
      </c>
      <c r="I62" s="12" t="s">
        <v>147</v>
      </c>
      <c r="J62" s="12"/>
      <c r="K62" s="12"/>
      <c r="L62" s="12" t="s">
        <v>147</v>
      </c>
      <c r="M62" s="12" t="s">
        <v>147</v>
      </c>
      <c r="N62" s="12" t="s">
        <v>147</v>
      </c>
      <c r="O62" s="12" t="s">
        <v>147</v>
      </c>
      <c r="P62" s="12" t="s">
        <v>147</v>
      </c>
      <c r="Q62" s="12"/>
      <c r="R62" s="12"/>
      <c r="S62" s="12" t="s">
        <v>147</v>
      </c>
      <c r="T62" s="12"/>
      <c r="U62" s="12" t="s">
        <v>147</v>
      </c>
      <c r="V62" s="12" t="s">
        <v>147</v>
      </c>
      <c r="W62" s="12" t="s">
        <v>147</v>
      </c>
      <c r="X62" s="12"/>
      <c r="Y62" s="64" t="s">
        <v>4</v>
      </c>
      <c r="Z62" s="12" t="s">
        <v>147</v>
      </c>
      <c r="AA62" s="12" t="s">
        <v>147</v>
      </c>
      <c r="AB62" s="12" t="s">
        <v>147</v>
      </c>
      <c r="AC62" s="12" t="s">
        <v>147</v>
      </c>
      <c r="AD62" s="12" t="s">
        <v>147</v>
      </c>
      <c r="AE62" s="12"/>
      <c r="AF62" s="64" t="s">
        <v>4</v>
      </c>
      <c r="AG62" s="64">
        <v>1903</v>
      </c>
      <c r="AH62" s="12" t="s">
        <v>147</v>
      </c>
      <c r="AJ62" s="12"/>
      <c r="AK62" s="12">
        <f t="shared" si="10"/>
        <v>2</v>
      </c>
      <c r="AL62" s="12">
        <f t="shared" si="10"/>
        <v>0</v>
      </c>
      <c r="AM62" s="12">
        <f t="shared" si="3"/>
        <v>2</v>
      </c>
      <c r="AN62" s="3"/>
      <c r="AO62" s="15">
        <f t="shared" si="12"/>
        <v>0</v>
      </c>
      <c r="AP62" s="15">
        <f t="shared" si="12"/>
        <v>0</v>
      </c>
      <c r="AQ62" s="15">
        <f t="shared" si="12"/>
        <v>1</v>
      </c>
      <c r="AR62" s="15">
        <f t="shared" si="12"/>
        <v>0</v>
      </c>
      <c r="AS62" s="15">
        <f t="shared" si="12"/>
        <v>0</v>
      </c>
      <c r="AT62" s="15">
        <f t="shared" si="12"/>
        <v>0</v>
      </c>
      <c r="AU62" s="15">
        <f t="shared" si="12"/>
        <v>0</v>
      </c>
      <c r="AV62" s="15">
        <f t="shared" si="4"/>
        <v>1</v>
      </c>
    </row>
    <row r="63" spans="1:48" s="6" customFormat="1" ht="24.95" customHeight="1">
      <c r="A63" s="10">
        <f t="shared" si="9"/>
        <v>59</v>
      </c>
      <c r="B63" s="4" t="s">
        <v>110</v>
      </c>
      <c r="C63" s="57">
        <v>19770</v>
      </c>
      <c r="D63" s="4" t="s">
        <v>112</v>
      </c>
      <c r="E63" s="64"/>
      <c r="F63" s="12" t="s">
        <v>147</v>
      </c>
      <c r="G63" s="12" t="s">
        <v>147</v>
      </c>
      <c r="H63" s="12" t="s">
        <v>147</v>
      </c>
      <c r="I63" s="12" t="s">
        <v>147</v>
      </c>
      <c r="J63" s="64"/>
      <c r="K63" s="64"/>
      <c r="L63" s="12" t="s">
        <v>147</v>
      </c>
      <c r="M63" s="12" t="s">
        <v>147</v>
      </c>
      <c r="N63" s="12" t="s">
        <v>147</v>
      </c>
      <c r="O63" s="12" t="s">
        <v>147</v>
      </c>
      <c r="P63" s="12" t="s">
        <v>147</v>
      </c>
      <c r="Q63" s="64"/>
      <c r="R63" s="64"/>
      <c r="S63" s="12" t="s">
        <v>147</v>
      </c>
      <c r="T63" s="12"/>
      <c r="U63" s="12" t="s">
        <v>147</v>
      </c>
      <c r="V63" s="12" t="s">
        <v>147</v>
      </c>
      <c r="W63" s="12" t="s">
        <v>147</v>
      </c>
      <c r="X63" s="64"/>
      <c r="Y63" s="64"/>
      <c r="Z63" s="12" t="s">
        <v>147</v>
      </c>
      <c r="AA63" s="12" t="s">
        <v>147</v>
      </c>
      <c r="AB63" s="12" t="s">
        <v>147</v>
      </c>
      <c r="AC63" s="12" t="s">
        <v>147</v>
      </c>
      <c r="AD63" s="12" t="s">
        <v>147</v>
      </c>
      <c r="AE63" s="12"/>
      <c r="AF63" s="64"/>
      <c r="AG63" s="12" t="s">
        <v>147</v>
      </c>
      <c r="AH63" s="12" t="s">
        <v>147</v>
      </c>
      <c r="AJ63" s="12"/>
      <c r="AK63" s="12">
        <f t="shared" si="10"/>
        <v>0</v>
      </c>
      <c r="AL63" s="12">
        <f t="shared" si="10"/>
        <v>0</v>
      </c>
      <c r="AM63" s="12">
        <f t="shared" si="3"/>
        <v>0</v>
      </c>
      <c r="AN63" s="3"/>
      <c r="AO63" s="15">
        <f t="shared" si="12"/>
        <v>0</v>
      </c>
      <c r="AP63" s="15">
        <f t="shared" si="12"/>
        <v>0</v>
      </c>
      <c r="AQ63" s="15">
        <f t="shared" si="12"/>
        <v>0</v>
      </c>
      <c r="AR63" s="15">
        <f t="shared" si="12"/>
        <v>0</v>
      </c>
      <c r="AS63" s="15">
        <f t="shared" si="12"/>
        <v>0</v>
      </c>
      <c r="AT63" s="15">
        <f t="shared" si="12"/>
        <v>0</v>
      </c>
      <c r="AU63" s="15">
        <f t="shared" si="12"/>
        <v>0</v>
      </c>
      <c r="AV63" s="15">
        <f t="shared" si="4"/>
        <v>0</v>
      </c>
    </row>
    <row r="64" spans="1:48" s="6" customFormat="1" ht="24.95" customHeight="1">
      <c r="A64" s="10">
        <f t="shared" si="9"/>
        <v>60</v>
      </c>
      <c r="B64" s="4" t="s">
        <v>111</v>
      </c>
      <c r="C64" s="57">
        <v>19771</v>
      </c>
      <c r="D64" s="4" t="s">
        <v>113</v>
      </c>
      <c r="E64" s="12"/>
      <c r="F64" s="12" t="s">
        <v>147</v>
      </c>
      <c r="G64" s="12" t="s">
        <v>147</v>
      </c>
      <c r="H64" s="12" t="s">
        <v>147</v>
      </c>
      <c r="I64" s="12" t="s">
        <v>147</v>
      </c>
      <c r="J64" s="12"/>
      <c r="K64" s="12"/>
      <c r="L64" s="12" t="s">
        <v>147</v>
      </c>
      <c r="M64" s="12" t="s">
        <v>147</v>
      </c>
      <c r="N64" s="12" t="s">
        <v>147</v>
      </c>
      <c r="O64" s="12" t="s">
        <v>147</v>
      </c>
      <c r="P64" s="12" t="s">
        <v>147</v>
      </c>
      <c r="Q64" s="12"/>
      <c r="R64" s="12"/>
      <c r="S64" s="12" t="s">
        <v>147</v>
      </c>
      <c r="T64" s="12"/>
      <c r="U64" s="12" t="s">
        <v>147</v>
      </c>
      <c r="V64" s="12" t="s">
        <v>147</v>
      </c>
      <c r="W64" s="12" t="s">
        <v>147</v>
      </c>
      <c r="X64" s="12"/>
      <c r="Y64" s="12"/>
      <c r="Z64" s="12" t="s">
        <v>147</v>
      </c>
      <c r="AA64" s="12" t="s">
        <v>147</v>
      </c>
      <c r="AB64" s="12" t="s">
        <v>147</v>
      </c>
      <c r="AC64" s="12" t="s">
        <v>147</v>
      </c>
      <c r="AD64" s="12" t="s">
        <v>147</v>
      </c>
      <c r="AE64" s="12"/>
      <c r="AF64" s="12"/>
      <c r="AG64" s="12" t="s">
        <v>147</v>
      </c>
      <c r="AH64" s="12" t="s">
        <v>147</v>
      </c>
      <c r="AJ64" s="12"/>
      <c r="AK64" s="12">
        <f t="shared" si="10"/>
        <v>0</v>
      </c>
      <c r="AL64" s="12">
        <f t="shared" si="10"/>
        <v>0</v>
      </c>
      <c r="AM64" s="12">
        <f t="shared" ref="AM64:AM69" si="13">SUM(AK64:AL64)</f>
        <v>0</v>
      </c>
      <c r="AN64" s="3"/>
      <c r="AO64" s="15">
        <f t="shared" si="12"/>
        <v>0</v>
      </c>
      <c r="AP64" s="15">
        <f t="shared" si="12"/>
        <v>0</v>
      </c>
      <c r="AQ64" s="15">
        <f t="shared" si="12"/>
        <v>0</v>
      </c>
      <c r="AR64" s="15">
        <f t="shared" si="12"/>
        <v>0</v>
      </c>
      <c r="AS64" s="15">
        <f t="shared" si="12"/>
        <v>0</v>
      </c>
      <c r="AT64" s="15">
        <f t="shared" si="12"/>
        <v>0</v>
      </c>
      <c r="AU64" s="15">
        <f t="shared" si="12"/>
        <v>0</v>
      </c>
      <c r="AV64" s="15">
        <f t="shared" ref="AV64:AV69" si="14">SUM(AO64:AU64)</f>
        <v>0</v>
      </c>
    </row>
    <row r="65" spans="1:54" s="6" customFormat="1" ht="24.95" customHeight="1">
      <c r="A65" s="10">
        <f t="shared" si="9"/>
        <v>61</v>
      </c>
      <c r="B65" s="4" t="s">
        <v>145</v>
      </c>
      <c r="C65" s="57">
        <v>19796</v>
      </c>
      <c r="D65" s="4" t="s">
        <v>17</v>
      </c>
      <c r="E65" s="12"/>
      <c r="F65" s="12" t="s">
        <v>147</v>
      </c>
      <c r="G65" s="12" t="s">
        <v>147</v>
      </c>
      <c r="H65" s="12" t="s">
        <v>147</v>
      </c>
      <c r="I65" s="12" t="s">
        <v>147</v>
      </c>
      <c r="J65" s="64" t="s">
        <v>4</v>
      </c>
      <c r="K65" s="12"/>
      <c r="L65" s="12" t="s">
        <v>147</v>
      </c>
      <c r="M65" s="12" t="s">
        <v>147</v>
      </c>
      <c r="N65" s="64">
        <v>1903</v>
      </c>
      <c r="O65" s="12" t="s">
        <v>147</v>
      </c>
      <c r="P65" s="12" t="s">
        <v>147</v>
      </c>
      <c r="Q65" s="64" t="s">
        <v>4</v>
      </c>
      <c r="R65" s="12"/>
      <c r="S65" s="12" t="s">
        <v>147</v>
      </c>
      <c r="T65" s="64"/>
      <c r="U65" s="12" t="s">
        <v>147</v>
      </c>
      <c r="V65" s="12" t="s">
        <v>147</v>
      </c>
      <c r="W65" s="12" t="s">
        <v>147</v>
      </c>
      <c r="X65" s="12"/>
      <c r="Y65" s="12"/>
      <c r="Z65" s="12" t="s">
        <v>147</v>
      </c>
      <c r="AA65" s="12" t="s">
        <v>147</v>
      </c>
      <c r="AB65" s="12" t="s">
        <v>147</v>
      </c>
      <c r="AC65" s="12" t="s">
        <v>147</v>
      </c>
      <c r="AD65" s="12" t="s">
        <v>147</v>
      </c>
      <c r="AE65" s="12"/>
      <c r="AF65" s="12"/>
      <c r="AG65" s="12" t="s">
        <v>147</v>
      </c>
      <c r="AH65" s="12" t="s">
        <v>147</v>
      </c>
      <c r="AJ65" s="12"/>
      <c r="AK65" s="12">
        <f t="shared" ref="AK65:AL70" si="15">COUNTIF($E65:$AH65,AK$4)</f>
        <v>2</v>
      </c>
      <c r="AL65" s="12">
        <f t="shared" si="15"/>
        <v>0</v>
      </c>
      <c r="AM65" s="12">
        <f t="shared" si="13"/>
        <v>2</v>
      </c>
      <c r="AN65" s="3"/>
      <c r="AO65" s="15">
        <f t="shared" ref="AO65:AU70" si="16">COUNTIF($E65:$AH65,AO$4)</f>
        <v>0</v>
      </c>
      <c r="AP65" s="15">
        <f t="shared" si="16"/>
        <v>0</v>
      </c>
      <c r="AQ65" s="15">
        <f t="shared" si="16"/>
        <v>1</v>
      </c>
      <c r="AR65" s="15">
        <f t="shared" si="16"/>
        <v>0</v>
      </c>
      <c r="AS65" s="15">
        <f t="shared" si="16"/>
        <v>0</v>
      </c>
      <c r="AT65" s="15">
        <f t="shared" si="16"/>
        <v>0</v>
      </c>
      <c r="AU65" s="15">
        <f t="shared" si="16"/>
        <v>0</v>
      </c>
      <c r="AV65" s="15">
        <f t="shared" si="14"/>
        <v>1</v>
      </c>
    </row>
    <row r="66" spans="1:54" s="6" customFormat="1" ht="24.95" customHeight="1">
      <c r="A66" s="10">
        <f t="shared" si="9"/>
        <v>62</v>
      </c>
      <c r="B66" s="4" t="s">
        <v>116</v>
      </c>
      <c r="C66" s="57">
        <v>19842</v>
      </c>
      <c r="D66" s="4" t="s">
        <v>79</v>
      </c>
      <c r="E66" s="12"/>
      <c r="F66" s="12" t="s">
        <v>147</v>
      </c>
      <c r="G66" s="12" t="s">
        <v>147</v>
      </c>
      <c r="H66" s="12" t="s">
        <v>147</v>
      </c>
      <c r="I66" s="12" t="s">
        <v>147</v>
      </c>
      <c r="J66" s="12"/>
      <c r="K66" s="12"/>
      <c r="L66" s="12" t="s">
        <v>147</v>
      </c>
      <c r="M66" s="12" t="s">
        <v>147</v>
      </c>
      <c r="N66" s="12" t="s">
        <v>147</v>
      </c>
      <c r="O66" s="12" t="s">
        <v>147</v>
      </c>
      <c r="P66" s="12" t="s">
        <v>147</v>
      </c>
      <c r="Q66" s="12"/>
      <c r="R66" s="12"/>
      <c r="S66" s="12" t="s">
        <v>147</v>
      </c>
      <c r="T66" s="12"/>
      <c r="U66" s="12" t="s">
        <v>147</v>
      </c>
      <c r="V66" s="12" t="s">
        <v>147</v>
      </c>
      <c r="W66" s="12" t="s">
        <v>147</v>
      </c>
      <c r="X66" s="12"/>
      <c r="Y66" s="12"/>
      <c r="Z66" s="12" t="s">
        <v>147</v>
      </c>
      <c r="AA66" s="12" t="s">
        <v>147</v>
      </c>
      <c r="AB66" s="12" t="s">
        <v>147</v>
      </c>
      <c r="AC66" s="12" t="s">
        <v>147</v>
      </c>
      <c r="AD66" s="12" t="s">
        <v>147</v>
      </c>
      <c r="AE66" s="12"/>
      <c r="AF66" s="12"/>
      <c r="AG66" s="12" t="s">
        <v>147</v>
      </c>
      <c r="AH66" s="12" t="s">
        <v>147</v>
      </c>
      <c r="AJ66" s="12"/>
      <c r="AK66" s="12">
        <f t="shared" si="15"/>
        <v>0</v>
      </c>
      <c r="AL66" s="12">
        <f t="shared" si="15"/>
        <v>0</v>
      </c>
      <c r="AM66" s="12">
        <f t="shared" si="13"/>
        <v>0</v>
      </c>
      <c r="AN66" s="3"/>
      <c r="AO66" s="15">
        <f t="shared" si="16"/>
        <v>0</v>
      </c>
      <c r="AP66" s="15">
        <f t="shared" si="16"/>
        <v>0</v>
      </c>
      <c r="AQ66" s="15">
        <f t="shared" si="16"/>
        <v>0</v>
      </c>
      <c r="AR66" s="15">
        <f t="shared" si="16"/>
        <v>0</v>
      </c>
      <c r="AS66" s="15">
        <f t="shared" si="16"/>
        <v>0</v>
      </c>
      <c r="AT66" s="15">
        <f t="shared" si="16"/>
        <v>0</v>
      </c>
      <c r="AU66" s="15">
        <f t="shared" si="16"/>
        <v>0</v>
      </c>
      <c r="AV66" s="15">
        <f t="shared" si="14"/>
        <v>0</v>
      </c>
    </row>
    <row r="67" spans="1:54" s="6" customFormat="1" ht="24.95" customHeight="1">
      <c r="A67" s="10">
        <f t="shared" si="9"/>
        <v>63</v>
      </c>
      <c r="B67" s="4" t="s">
        <v>103</v>
      </c>
      <c r="C67" s="57">
        <v>19887</v>
      </c>
      <c r="D67" s="4" t="s">
        <v>65</v>
      </c>
      <c r="E67" s="12"/>
      <c r="F67" s="12" t="s">
        <v>147</v>
      </c>
      <c r="G67" s="12" t="s">
        <v>147</v>
      </c>
      <c r="H67" s="12" t="s">
        <v>147</v>
      </c>
      <c r="I67" s="12" t="s">
        <v>147</v>
      </c>
      <c r="J67" s="12"/>
      <c r="K67" s="12"/>
      <c r="L67" s="12" t="s">
        <v>147</v>
      </c>
      <c r="M67" s="12" t="s">
        <v>147</v>
      </c>
      <c r="N67" s="12" t="s">
        <v>147</v>
      </c>
      <c r="O67" s="12" t="s">
        <v>147</v>
      </c>
      <c r="P67" s="12" t="s">
        <v>147</v>
      </c>
      <c r="Q67" s="12"/>
      <c r="R67" s="12"/>
      <c r="S67" s="12" t="s">
        <v>147</v>
      </c>
      <c r="T67" s="64" t="s">
        <v>5</v>
      </c>
      <c r="U67" s="64" t="s">
        <v>5</v>
      </c>
      <c r="V67" s="64" t="s">
        <v>5</v>
      </c>
      <c r="W67" s="64" t="s">
        <v>5</v>
      </c>
      <c r="X67" s="64" t="s">
        <v>5</v>
      </c>
      <c r="Y67" s="64" t="s">
        <v>5</v>
      </c>
      <c r="Z67" s="64" t="s">
        <v>5</v>
      </c>
      <c r="AA67" s="64" t="s">
        <v>5</v>
      </c>
      <c r="AB67" s="64" t="s">
        <v>5</v>
      </c>
      <c r="AC67" s="64" t="s">
        <v>5</v>
      </c>
      <c r="AD67" s="64" t="s">
        <v>5</v>
      </c>
      <c r="AE67" s="64" t="s">
        <v>5</v>
      </c>
      <c r="AF67" s="64" t="s">
        <v>5</v>
      </c>
      <c r="AG67" s="12"/>
      <c r="AH67" s="64" t="s">
        <v>5</v>
      </c>
      <c r="AJ67" s="12"/>
      <c r="AK67" s="12">
        <f t="shared" si="15"/>
        <v>0</v>
      </c>
      <c r="AL67" s="12">
        <f t="shared" si="15"/>
        <v>14</v>
      </c>
      <c r="AM67" s="12">
        <f t="shared" si="13"/>
        <v>14</v>
      </c>
      <c r="AN67" s="3"/>
      <c r="AO67" s="15">
        <f t="shared" si="16"/>
        <v>0</v>
      </c>
      <c r="AP67" s="15">
        <f t="shared" si="16"/>
        <v>0</v>
      </c>
      <c r="AQ67" s="15">
        <f t="shared" si="16"/>
        <v>0</v>
      </c>
      <c r="AR67" s="15">
        <f t="shared" si="16"/>
        <v>0</v>
      </c>
      <c r="AS67" s="15">
        <f t="shared" si="16"/>
        <v>0</v>
      </c>
      <c r="AT67" s="15">
        <f t="shared" si="16"/>
        <v>0</v>
      </c>
      <c r="AU67" s="15">
        <f t="shared" si="16"/>
        <v>0</v>
      </c>
      <c r="AV67" s="15">
        <f t="shared" si="14"/>
        <v>0</v>
      </c>
    </row>
    <row r="68" spans="1:54" s="6" customFormat="1" ht="24.95" customHeight="1">
      <c r="A68" s="10">
        <f t="shared" si="9"/>
        <v>64</v>
      </c>
      <c r="B68" s="4" t="s">
        <v>122</v>
      </c>
      <c r="C68" s="57">
        <v>19888</v>
      </c>
      <c r="D68" s="4" t="s">
        <v>123</v>
      </c>
      <c r="E68" s="12"/>
      <c r="F68" s="12" t="s">
        <v>147</v>
      </c>
      <c r="G68" s="12" t="s">
        <v>147</v>
      </c>
      <c r="H68" s="12" t="s">
        <v>147</v>
      </c>
      <c r="I68" s="12" t="s">
        <v>147</v>
      </c>
      <c r="J68" s="12"/>
      <c r="K68" s="12"/>
      <c r="L68" s="12" t="s">
        <v>147</v>
      </c>
      <c r="M68" s="12" t="s">
        <v>147</v>
      </c>
      <c r="N68" s="12" t="s">
        <v>147</v>
      </c>
      <c r="O68" s="12" t="s">
        <v>147</v>
      </c>
      <c r="P68" s="12" t="s">
        <v>147</v>
      </c>
      <c r="Q68" s="12"/>
      <c r="R68" s="12"/>
      <c r="S68" s="12" t="s">
        <v>147</v>
      </c>
      <c r="T68" s="12"/>
      <c r="U68" s="12" t="s">
        <v>147</v>
      </c>
      <c r="V68" s="12" t="s">
        <v>147</v>
      </c>
      <c r="W68" s="12" t="s">
        <v>147</v>
      </c>
      <c r="X68" s="12"/>
      <c r="Y68" s="12"/>
      <c r="Z68" s="12" t="s">
        <v>147</v>
      </c>
      <c r="AA68" s="12" t="s">
        <v>147</v>
      </c>
      <c r="AB68" s="12" t="s">
        <v>147</v>
      </c>
      <c r="AC68" s="12" t="s">
        <v>147</v>
      </c>
      <c r="AD68" s="12" t="s">
        <v>147</v>
      </c>
      <c r="AE68" s="12"/>
      <c r="AF68" s="12"/>
      <c r="AG68" s="12" t="s">
        <v>147</v>
      </c>
      <c r="AH68" s="12" t="s">
        <v>147</v>
      </c>
      <c r="AJ68" s="12"/>
      <c r="AK68" s="12">
        <f t="shared" si="15"/>
        <v>0</v>
      </c>
      <c r="AL68" s="12">
        <f t="shared" si="15"/>
        <v>0</v>
      </c>
      <c r="AM68" s="12">
        <f t="shared" si="13"/>
        <v>0</v>
      </c>
      <c r="AN68" s="3"/>
      <c r="AO68" s="15">
        <f t="shared" si="16"/>
        <v>0</v>
      </c>
      <c r="AP68" s="15">
        <f t="shared" si="16"/>
        <v>0</v>
      </c>
      <c r="AQ68" s="15">
        <f t="shared" si="16"/>
        <v>0</v>
      </c>
      <c r="AR68" s="15">
        <f t="shared" si="16"/>
        <v>0</v>
      </c>
      <c r="AS68" s="15">
        <f t="shared" si="16"/>
        <v>0</v>
      </c>
      <c r="AT68" s="15">
        <f t="shared" si="16"/>
        <v>0</v>
      </c>
      <c r="AU68" s="15">
        <f t="shared" si="16"/>
        <v>0</v>
      </c>
      <c r="AV68" s="15">
        <f t="shared" si="14"/>
        <v>0</v>
      </c>
    </row>
    <row r="69" spans="1:54" s="6" customFormat="1" ht="24.95" customHeight="1">
      <c r="A69" s="10">
        <f t="shared" si="9"/>
        <v>65</v>
      </c>
      <c r="B69" s="4" t="s">
        <v>92</v>
      </c>
      <c r="C69" s="57">
        <v>20012</v>
      </c>
      <c r="D69" s="4" t="s">
        <v>93</v>
      </c>
      <c r="E69" s="12"/>
      <c r="F69" s="12" t="s">
        <v>147</v>
      </c>
      <c r="G69" s="12" t="s">
        <v>147</v>
      </c>
      <c r="H69" s="12" t="s">
        <v>147</v>
      </c>
      <c r="I69" s="12" t="s">
        <v>147</v>
      </c>
      <c r="J69" s="12"/>
      <c r="K69" s="12"/>
      <c r="L69" s="12" t="s">
        <v>147</v>
      </c>
      <c r="M69" s="12" t="s">
        <v>147</v>
      </c>
      <c r="N69" s="64">
        <v>1901</v>
      </c>
      <c r="O69" s="12" t="s">
        <v>147</v>
      </c>
      <c r="P69" s="12" t="s">
        <v>147</v>
      </c>
      <c r="Q69" s="12"/>
      <c r="R69" s="12"/>
      <c r="S69" s="12" t="s">
        <v>147</v>
      </c>
      <c r="T69" s="12"/>
      <c r="U69" s="12" t="s">
        <v>147</v>
      </c>
      <c r="V69" s="12" t="s">
        <v>147</v>
      </c>
      <c r="W69" s="12" t="s">
        <v>147</v>
      </c>
      <c r="X69" s="12"/>
      <c r="Y69" s="12"/>
      <c r="Z69" s="12" t="s">
        <v>147</v>
      </c>
      <c r="AA69" s="12" t="s">
        <v>147</v>
      </c>
      <c r="AB69" s="12" t="s">
        <v>147</v>
      </c>
      <c r="AC69" s="12" t="s">
        <v>147</v>
      </c>
      <c r="AD69" s="12" t="s">
        <v>147</v>
      </c>
      <c r="AE69" s="12"/>
      <c r="AF69" s="12"/>
      <c r="AG69" s="12" t="s">
        <v>147</v>
      </c>
      <c r="AH69" s="12" t="s">
        <v>147</v>
      </c>
      <c r="AJ69" s="12"/>
      <c r="AK69" s="12">
        <f t="shared" si="15"/>
        <v>0</v>
      </c>
      <c r="AL69" s="12">
        <f t="shared" si="15"/>
        <v>0</v>
      </c>
      <c r="AM69" s="12">
        <f t="shared" si="13"/>
        <v>0</v>
      </c>
      <c r="AN69" s="3"/>
      <c r="AO69" s="15">
        <f t="shared" si="16"/>
        <v>1</v>
      </c>
      <c r="AP69" s="15">
        <f t="shared" si="16"/>
        <v>0</v>
      </c>
      <c r="AQ69" s="15">
        <f t="shared" si="16"/>
        <v>0</v>
      </c>
      <c r="AR69" s="15">
        <f t="shared" si="16"/>
        <v>0</v>
      </c>
      <c r="AS69" s="15">
        <f t="shared" si="16"/>
        <v>0</v>
      </c>
      <c r="AT69" s="15">
        <f t="shared" si="16"/>
        <v>0</v>
      </c>
      <c r="AU69" s="15">
        <f t="shared" si="16"/>
        <v>0</v>
      </c>
      <c r="AV69" s="15">
        <f t="shared" si="14"/>
        <v>1</v>
      </c>
    </row>
    <row r="70" spans="1:54" s="6" customFormat="1" ht="24.95" customHeight="1">
      <c r="A70" s="10">
        <f t="shared" si="9"/>
        <v>66</v>
      </c>
      <c r="B70" s="4" t="s">
        <v>115</v>
      </c>
      <c r="C70" s="57">
        <v>20141</v>
      </c>
      <c r="D70" s="4" t="s">
        <v>17</v>
      </c>
      <c r="E70" s="64" t="s">
        <v>4</v>
      </c>
      <c r="F70" s="12" t="s">
        <v>147</v>
      </c>
      <c r="G70" s="12" t="s">
        <v>147</v>
      </c>
      <c r="H70" s="12" t="s">
        <v>147</v>
      </c>
      <c r="I70" s="12" t="s">
        <v>147</v>
      </c>
      <c r="J70" s="12"/>
      <c r="K70" s="64" t="s">
        <v>4</v>
      </c>
      <c r="L70" s="12" t="s">
        <v>147</v>
      </c>
      <c r="M70" s="12" t="s">
        <v>147</v>
      </c>
      <c r="N70" s="12" t="s">
        <v>147</v>
      </c>
      <c r="O70" s="12" t="s">
        <v>147</v>
      </c>
      <c r="P70" s="12" t="s">
        <v>147</v>
      </c>
      <c r="Q70" s="12"/>
      <c r="R70" s="64" t="s">
        <v>4</v>
      </c>
      <c r="S70" s="12" t="s">
        <v>147</v>
      </c>
      <c r="T70" s="64" t="s">
        <v>4</v>
      </c>
      <c r="U70" s="64" t="s">
        <v>4</v>
      </c>
      <c r="V70" s="12" t="s">
        <v>147</v>
      </c>
      <c r="W70" s="12" t="s">
        <v>147</v>
      </c>
      <c r="X70" s="64" t="s">
        <v>4</v>
      </c>
      <c r="Y70" s="12"/>
      <c r="Z70" s="12" t="s">
        <v>147</v>
      </c>
      <c r="AA70" s="12" t="s">
        <v>147</v>
      </c>
      <c r="AB70" s="12" t="s">
        <v>147</v>
      </c>
      <c r="AC70" s="12" t="s">
        <v>147</v>
      </c>
      <c r="AD70" s="12" t="s">
        <v>147</v>
      </c>
      <c r="AE70" s="64" t="s">
        <v>4</v>
      </c>
      <c r="AF70" s="12"/>
      <c r="AG70" s="12" t="s">
        <v>147</v>
      </c>
      <c r="AH70" s="12" t="s">
        <v>147</v>
      </c>
      <c r="AJ70" s="12"/>
      <c r="AK70" s="12">
        <f t="shared" si="15"/>
        <v>7</v>
      </c>
      <c r="AL70" s="12">
        <f t="shared" si="15"/>
        <v>0</v>
      </c>
      <c r="AM70" s="12">
        <f t="shared" ref="AM70" si="17">SUM(AK70:AL70)</f>
        <v>7</v>
      </c>
      <c r="AN70" s="3"/>
      <c r="AO70" s="15">
        <f t="shared" si="16"/>
        <v>0</v>
      </c>
      <c r="AP70" s="15">
        <f t="shared" si="16"/>
        <v>0</v>
      </c>
      <c r="AQ70" s="15">
        <f t="shared" si="16"/>
        <v>0</v>
      </c>
      <c r="AR70" s="15">
        <f t="shared" si="16"/>
        <v>0</v>
      </c>
      <c r="AS70" s="15">
        <f t="shared" si="16"/>
        <v>0</v>
      </c>
      <c r="AT70" s="15">
        <f t="shared" si="16"/>
        <v>0</v>
      </c>
      <c r="AU70" s="15">
        <f t="shared" si="16"/>
        <v>0</v>
      </c>
      <c r="AV70" s="15">
        <f t="shared" ref="AV70" si="18">SUM(AO70:AU70)</f>
        <v>0</v>
      </c>
    </row>
    <row r="71" spans="1:54" s="8" customFormat="1" ht="27.95" customHeight="1">
      <c r="A71" s="63"/>
      <c r="C71" s="19" t="s">
        <v>44</v>
      </c>
      <c r="D71" s="19"/>
      <c r="E71" s="38"/>
      <c r="F71" s="39"/>
      <c r="G71" s="25"/>
      <c r="H71" s="22"/>
      <c r="I71" s="22"/>
      <c r="J71" s="22"/>
      <c r="K71" s="22"/>
      <c r="L71" s="42"/>
      <c r="M71" s="42"/>
      <c r="N71" s="22"/>
      <c r="O71" s="22"/>
      <c r="P71" s="19"/>
      <c r="Q71" s="20" t="s">
        <v>45</v>
      </c>
      <c r="R71" s="20"/>
      <c r="S71" s="46"/>
      <c r="T71" s="45"/>
      <c r="U71" s="22"/>
      <c r="V71" s="22"/>
      <c r="W71" s="22"/>
      <c r="X71" s="22"/>
      <c r="Y71" s="27"/>
      <c r="Z71" s="48"/>
      <c r="AA71" s="48"/>
      <c r="AB71" s="20"/>
      <c r="AC71" s="20"/>
      <c r="AD71" s="69" t="s">
        <v>46</v>
      </c>
      <c r="AE71" s="69"/>
      <c r="AF71" s="69"/>
      <c r="AG71" s="69"/>
      <c r="AH71" s="69"/>
      <c r="AI71" s="6"/>
      <c r="AN71" s="3"/>
      <c r="AX71" s="6"/>
      <c r="AY71" s="6"/>
      <c r="BB71" s="6"/>
    </row>
    <row r="72" spans="1:54" s="8" customFormat="1" ht="27.95" customHeight="1">
      <c r="C72" s="21"/>
      <c r="D72" s="19"/>
      <c r="E72" s="40"/>
      <c r="F72" s="39"/>
      <c r="G72" s="21"/>
      <c r="H72" s="22"/>
      <c r="I72" s="22"/>
      <c r="J72" s="22"/>
      <c r="K72" s="22"/>
      <c r="L72" s="42"/>
      <c r="M72" s="42"/>
      <c r="N72" s="22"/>
      <c r="O72" s="22"/>
      <c r="P72" s="22"/>
      <c r="Q72" s="19"/>
      <c r="R72" s="26"/>
      <c r="S72" s="44"/>
      <c r="T72" s="45"/>
      <c r="U72" s="26"/>
      <c r="V72" s="22"/>
      <c r="W72" s="22"/>
      <c r="X72" s="22"/>
      <c r="Y72" s="22"/>
      <c r="Z72" s="42"/>
      <c r="AA72" s="48"/>
      <c r="AB72" s="28"/>
      <c r="AC72" s="28"/>
      <c r="AD72" s="28"/>
      <c r="AE72" s="28"/>
      <c r="AF72" s="28"/>
      <c r="AG72" s="28"/>
      <c r="AH72" s="28"/>
    </row>
    <row r="73" spans="1:54" s="8" customFormat="1" ht="27.95" customHeight="1">
      <c r="C73" s="25"/>
      <c r="D73" s="19"/>
      <c r="E73" s="40"/>
      <c r="F73" s="39"/>
      <c r="G73" s="25"/>
      <c r="H73" s="19"/>
      <c r="I73" s="19"/>
      <c r="J73" s="19"/>
      <c r="K73" s="19"/>
      <c r="L73" s="39"/>
      <c r="M73" s="43"/>
      <c r="N73" s="19"/>
      <c r="O73" s="22"/>
      <c r="P73" s="22"/>
      <c r="Q73" s="19"/>
      <c r="R73" s="26"/>
      <c r="S73" s="44"/>
      <c r="T73" s="45"/>
      <c r="U73" s="26"/>
      <c r="V73" s="28"/>
      <c r="W73" s="26"/>
      <c r="X73" s="21"/>
      <c r="Y73" s="26"/>
      <c r="Z73" s="39"/>
      <c r="AA73" s="39"/>
      <c r="AB73" s="28"/>
      <c r="AC73" s="28"/>
      <c r="AD73" s="28"/>
      <c r="AE73" s="28"/>
      <c r="AF73" s="28"/>
      <c r="AG73" s="28"/>
      <c r="AH73" s="28"/>
    </row>
    <row r="74" spans="1:54" s="8" customFormat="1" ht="27.95" customHeight="1">
      <c r="C74" s="23" t="s">
        <v>42</v>
      </c>
      <c r="D74" s="19"/>
      <c r="E74" s="40"/>
      <c r="F74" s="39"/>
      <c r="G74" s="25"/>
      <c r="H74" s="24"/>
      <c r="I74" s="24"/>
      <c r="J74" s="24"/>
      <c r="K74" s="24"/>
      <c r="L74" s="44"/>
      <c r="M74" s="45"/>
      <c r="N74" s="19"/>
      <c r="O74" s="22"/>
      <c r="P74" s="29"/>
      <c r="Q74" s="23" t="s">
        <v>29</v>
      </c>
      <c r="R74" s="29"/>
      <c r="S74" s="47"/>
      <c r="T74" s="47"/>
      <c r="U74" s="26"/>
      <c r="V74" s="26"/>
      <c r="W74" s="26"/>
      <c r="X74" s="26"/>
      <c r="Y74" s="26"/>
      <c r="Z74" s="45"/>
      <c r="AA74" s="45"/>
      <c r="AB74" s="13"/>
      <c r="AC74" s="30"/>
      <c r="AD74" s="68" t="s">
        <v>107</v>
      </c>
      <c r="AE74" s="68"/>
      <c r="AF74" s="68"/>
      <c r="AG74" s="68"/>
      <c r="AH74" s="68"/>
    </row>
    <row r="75" spans="1:54" s="8" customFormat="1" ht="27.95" customHeight="1">
      <c r="C75" s="24" t="s">
        <v>80</v>
      </c>
      <c r="D75" s="19"/>
      <c r="E75" s="40"/>
      <c r="F75" s="39"/>
      <c r="G75" s="25"/>
      <c r="H75" s="24"/>
      <c r="I75" s="24"/>
      <c r="J75" s="24"/>
      <c r="K75" s="24"/>
      <c r="L75" s="44"/>
      <c r="M75" s="45" t="s">
        <v>47</v>
      </c>
      <c r="N75" s="19"/>
      <c r="O75" s="22"/>
      <c r="P75" s="22"/>
      <c r="Q75" s="24" t="s">
        <v>96</v>
      </c>
      <c r="R75" s="19"/>
      <c r="S75" s="39"/>
      <c r="T75" s="39"/>
      <c r="U75" s="19"/>
      <c r="V75" s="26"/>
      <c r="W75" s="26"/>
      <c r="X75" s="26"/>
      <c r="Y75" s="26"/>
      <c r="Z75" s="45"/>
      <c r="AA75" s="45"/>
      <c r="AB75" s="13"/>
      <c r="AC75" s="13"/>
      <c r="AD75" s="69" t="s">
        <v>108</v>
      </c>
      <c r="AE75" s="69"/>
      <c r="AF75" s="69"/>
      <c r="AG75" s="69"/>
      <c r="AH75" s="69"/>
    </row>
    <row r="76" spans="1:54" ht="24.95" customHeight="1">
      <c r="B76" s="8"/>
      <c r="C76" s="24"/>
      <c r="D76" s="19"/>
      <c r="F76" s="39"/>
      <c r="G76" s="25"/>
      <c r="H76" s="24"/>
      <c r="I76" s="24"/>
      <c r="J76" s="24"/>
      <c r="K76" s="24"/>
      <c r="L76" s="44"/>
      <c r="M76" s="44"/>
      <c r="N76" s="19"/>
      <c r="O76" s="25"/>
      <c r="P76" s="25"/>
      <c r="Q76" s="24"/>
      <c r="R76" s="19"/>
      <c r="S76" s="39"/>
      <c r="T76" s="39"/>
      <c r="U76" s="19"/>
      <c r="V76" s="24"/>
      <c r="W76" s="24"/>
      <c r="X76" s="24"/>
      <c r="Y76" s="24"/>
      <c r="Z76" s="44"/>
      <c r="AA76" s="44"/>
      <c r="AD76" s="19"/>
      <c r="AE76" s="19"/>
      <c r="AF76" s="19"/>
      <c r="AG76" s="19"/>
      <c r="AH76" s="19"/>
    </row>
    <row r="77" spans="1:54" ht="24.95" customHeight="1">
      <c r="B77" s="70" t="s">
        <v>48</v>
      </c>
      <c r="C77" s="70"/>
      <c r="D77" s="70"/>
      <c r="E77" s="70"/>
      <c r="H77" s="31"/>
      <c r="Q77" s="31" t="s">
        <v>49</v>
      </c>
      <c r="R77" s="31"/>
      <c r="S77" s="37"/>
      <c r="T77" s="37"/>
      <c r="U77" s="7"/>
      <c r="V77" s="7"/>
      <c r="W77" s="7"/>
      <c r="X77" s="7"/>
      <c r="Y77" s="7"/>
      <c r="Z77" s="37"/>
      <c r="AA77" s="37"/>
      <c r="AB77" s="7"/>
      <c r="AC77" s="7"/>
      <c r="AD77" s="7"/>
      <c r="AE77" s="7"/>
      <c r="AF77" s="7"/>
      <c r="AG77" s="7"/>
      <c r="AH77" s="7"/>
    </row>
    <row r="78" spans="1:54" ht="24.95" customHeight="1"/>
    <row r="79" spans="1:54" ht="24.95" customHeight="1">
      <c r="A79" s="71" t="s">
        <v>50</v>
      </c>
      <c r="B79" s="71"/>
    </row>
    <row r="80" spans="1:54" ht="24.95" customHeight="1">
      <c r="A80" s="50"/>
      <c r="B80" s="9" t="s">
        <v>51</v>
      </c>
    </row>
    <row r="81" spans="1:39" ht="24.95" customHeight="1">
      <c r="A81" s="51"/>
      <c r="B81" s="9" t="s">
        <v>52</v>
      </c>
    </row>
    <row r="82" spans="1:39" ht="24.95" customHeight="1">
      <c r="A82" s="52"/>
      <c r="B82" s="9" t="s">
        <v>53</v>
      </c>
    </row>
    <row r="83" spans="1:39" ht="24.95" customHeight="1">
      <c r="A83" s="53"/>
      <c r="B83" s="9" t="s">
        <v>54</v>
      </c>
    </row>
    <row r="84" spans="1:39" ht="24.95" customHeight="1">
      <c r="A84" s="54"/>
      <c r="B84" s="9" t="s">
        <v>55</v>
      </c>
    </row>
    <row r="85" spans="1:39" ht="24.95" customHeight="1">
      <c r="A85" s="55"/>
      <c r="B85" s="9" t="s">
        <v>56</v>
      </c>
    </row>
    <row r="86" spans="1:39" ht="24.95" customHeight="1">
      <c r="A86" s="56"/>
      <c r="B86" s="9" t="s">
        <v>57</v>
      </c>
      <c r="AM86" s="1"/>
    </row>
    <row r="89" spans="1:39" ht="27.95" customHeight="1">
      <c r="D89" s="2"/>
    </row>
    <row r="93" spans="1:39" ht="27.95" customHeight="1">
      <c r="K93" s="32"/>
    </row>
    <row r="94" spans="1:39" ht="27.95" customHeight="1">
      <c r="K94" s="32"/>
    </row>
    <row r="95" spans="1:39" ht="27.95" customHeight="1">
      <c r="D95" s="2"/>
    </row>
    <row r="97" spans="4:7" ht="27.95" customHeight="1">
      <c r="D97" s="2"/>
    </row>
    <row r="98" spans="4:7" ht="27.95" customHeight="1">
      <c r="D98" s="2"/>
      <c r="E98" s="41"/>
      <c r="G98" s="33"/>
    </row>
    <row r="99" spans="4:7" ht="27.95" customHeight="1">
      <c r="D99" s="2"/>
      <c r="G99" s="33"/>
    </row>
    <row r="106" spans="4:7" ht="27.95" customHeight="1">
      <c r="D106" s="2"/>
    </row>
  </sheetData>
  <autoFilter ref="A4:BC71" xr:uid="{00000000-0001-0000-0000-000000000000}"/>
  <sortState xmlns:xlrd2="http://schemas.microsoft.com/office/spreadsheetml/2017/richdata2" ref="A5:AJ70">
    <sortCondition ref="C5:C70"/>
  </sortState>
  <mergeCells count="10">
    <mergeCell ref="AD74:AH74"/>
    <mergeCell ref="AD75:AH75"/>
    <mergeCell ref="B77:E77"/>
    <mergeCell ref="A79:B79"/>
    <mergeCell ref="A3:A4"/>
    <mergeCell ref="B3:B4"/>
    <mergeCell ref="C3:C4"/>
    <mergeCell ref="D3:D4"/>
    <mergeCell ref="AD71:AH71"/>
    <mergeCell ref="E3:AH3"/>
  </mergeCells>
  <phoneticPr fontId="33" type="noConversion"/>
  <conditionalFormatting sqref="AB71 C71:D76 F71:N76 P71:AA76 AC74 AD76:AH76">
    <cfRule type="cellIs" dxfId="24" priority="26102" stopIfTrue="1" operator="equal">
      <formula>"1905B"</formula>
    </cfRule>
  </conditionalFormatting>
  <conditionalFormatting sqref="AB72:AH73 AD74:AD75">
    <cfRule type="cellIs" dxfId="23" priority="1669" stopIfTrue="1" operator="equal">
      <formula>"1905B"</formula>
    </cfRule>
  </conditionalFormatting>
  <conditionalFormatting sqref="AD71">
    <cfRule type="cellIs" dxfId="22" priority="1670" stopIfTrue="1" operator="equal">
      <formula>"1905B"</formula>
    </cfRule>
  </conditionalFormatting>
  <conditionalFormatting sqref="AW21 BD21:IT21 AW23:AW24 BD23:IT24 AW27:AW28 BD27:IT28">
    <cfRule type="cellIs" dxfId="21" priority="26108" stopIfTrue="1" operator="equal">
      <formula>1906</formula>
    </cfRule>
    <cfRule type="cellIs" dxfId="20" priority="26109" stopIfTrue="1" operator="equal">
      <formula>1905</formula>
    </cfRule>
    <cfRule type="cellIs" dxfId="19" priority="26110" stopIfTrue="1" operator="equal">
      <formula>1904</formula>
    </cfRule>
    <cfRule type="cellIs" dxfId="18" priority="26111" stopIfTrue="1" operator="equal">
      <formula>1903</formula>
    </cfRule>
    <cfRule type="cellIs" dxfId="17" priority="26112" stopIfTrue="1" operator="equal">
      <formula>1902</formula>
    </cfRule>
    <cfRule type="cellIs" dxfId="16" priority="26113" stopIfTrue="1" operator="equal">
      <formula>"SC"</formula>
    </cfRule>
    <cfRule type="cellIs" dxfId="15" priority="26114" stopIfTrue="1" operator="equal">
      <formula>1901</formula>
    </cfRule>
    <cfRule type="cellIs" dxfId="14" priority="26115" operator="equal">
      <formula>1904</formula>
    </cfRule>
  </conditionalFormatting>
  <conditionalFormatting sqref="AW21:AW24 BD21:IT24">
    <cfRule type="cellIs" dxfId="13" priority="26090" stopIfTrue="1" operator="equal">
      <formula>1904</formula>
    </cfRule>
    <cfRule type="cellIs" dxfId="12" priority="26099" stopIfTrue="1" operator="equal">
      <formula>"SC"</formula>
    </cfRule>
  </conditionalFormatting>
  <conditionalFormatting sqref="AW22 BD22:IT22">
    <cfRule type="cellIs" dxfId="11" priority="26091" stopIfTrue="1" operator="equal">
      <formula>"SC"</formula>
    </cfRule>
    <cfRule type="cellIs" dxfId="10" priority="26093" stopIfTrue="1" operator="equal">
      <formula>1904</formula>
    </cfRule>
    <cfRule type="cellIs" dxfId="9" priority="26094" stopIfTrue="1" operator="equal">
      <formula>1906</formula>
    </cfRule>
    <cfRule type="cellIs" dxfId="8" priority="26095" stopIfTrue="1" operator="equal">
      <formula>1905</formula>
    </cfRule>
    <cfRule type="cellIs" dxfId="7" priority="26096" stopIfTrue="1" operator="equal">
      <formula>1904</formula>
    </cfRule>
    <cfRule type="cellIs" dxfId="6" priority="26097" stopIfTrue="1" operator="equal">
      <formula>1903</formula>
    </cfRule>
    <cfRule type="cellIs" dxfId="5" priority="26098" stopIfTrue="1" operator="equal">
      <formula>1902</formula>
    </cfRule>
    <cfRule type="cellIs" dxfId="4" priority="26100" stopIfTrue="1" operator="equal">
      <formula>1901</formula>
    </cfRule>
    <cfRule type="cellIs" dxfId="3" priority="26101" operator="equal">
      <formula>1904</formula>
    </cfRule>
  </conditionalFormatting>
  <conditionalFormatting sqref="AW27:AW28 BD27:IT28 AW21 BD21:IT21 AW23:AW24 BD23:IT24">
    <cfRule type="cellIs" dxfId="2" priority="26107" stopIfTrue="1" operator="equal">
      <formula>1904</formula>
    </cfRule>
  </conditionalFormatting>
  <conditionalFormatting sqref="AW27:AW28 BD27:IT28">
    <cfRule type="cellIs" dxfId="1" priority="26104" stopIfTrue="1" operator="equal">
      <formula>1904</formula>
    </cfRule>
    <cfRule type="cellIs" dxfId="0" priority="26105" stopIfTrue="1" operator="equal">
      <formula>"SC"</formula>
    </cfRule>
  </conditionalFormatting>
  <printOptions horizontalCentered="1"/>
  <pageMargins left="0" right="0" top="0" bottom="0" header="0.23622047244094491" footer="0.51181102362204722"/>
  <pageSetup paperSize="9" scale="39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Diana</dc:creator>
  <cp:lastModifiedBy>Ema il</cp:lastModifiedBy>
  <cp:lastPrinted>2025-08-11T01:23:07Z</cp:lastPrinted>
  <dcterms:created xsi:type="dcterms:W3CDTF">2022-10-11T06:07:21Z</dcterms:created>
  <dcterms:modified xsi:type="dcterms:W3CDTF">2026-07-01T00:26:26Z</dcterms:modified>
</cp:coreProperties>
</file>